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dflag_questions" sheetId="1" r:id="rId5"/>
    <sheet state="visible" name="printable" sheetId="2" r:id="rId6"/>
    <sheet state="visible" name="redflag_questions_scores" sheetId="3" r:id="rId7"/>
  </sheets>
  <definedNames/>
  <calcPr/>
</workbook>
</file>

<file path=xl/sharedStrings.xml><?xml version="1.0" encoding="utf-8"?>
<sst xmlns="http://schemas.openxmlformats.org/spreadsheetml/2006/main" count="162" uniqueCount="92">
  <si>
    <t>Questions</t>
  </si>
  <si>
    <t>Weights</t>
  </si>
  <si>
    <t>Lucas</t>
  </si>
  <si>
    <t>Nicolaus</t>
  </si>
  <si>
    <t>Alex</t>
  </si>
  <si>
    <t>Stefan</t>
  </si>
  <si>
    <t>Daniel</t>
  </si>
  <si>
    <t>Johannes</t>
  </si>
  <si>
    <t>Mathias</t>
  </si>
  <si>
    <t>Roman</t>
  </si>
  <si>
    <t>Ringo</t>
  </si>
  <si>
    <t>Rick</t>
  </si>
  <si>
    <t>Benny</t>
  </si>
  <si>
    <t>Flavio</t>
  </si>
  <si>
    <t>Andreas</t>
  </si>
  <si>
    <t>Markus</t>
  </si>
  <si>
    <t>Tobias</t>
  </si>
  <si>
    <t>Tilo</t>
  </si>
  <si>
    <t>Chris</t>
  </si>
  <si>
    <t>Robin</t>
  </si>
  <si>
    <t>Basti</t>
  </si>
  <si>
    <t>Maik</t>
  </si>
  <si>
    <t>Sie ist zum größten Teil in ihrem Leben ohne biologischen Vater aufgewachsen.</t>
  </si>
  <si>
    <t>Sie hat eine schlechte Beziehung zu ihrem Vater.</t>
  </si>
  <si>
    <t>Ihre Mutter hatte in der Eltern Beziehung das Sagen und war eher dominant.</t>
  </si>
  <si>
    <t>Sie ist eine Feministin und gibt Männer die Schuld an der Unterdrückung der Frauen.</t>
  </si>
  <si>
    <t>Sie ist eine Single Mutter die sich freiwillig von ihrem Mann getrennt hat.</t>
  </si>
  <si>
    <t>Sie ist deutlich älter als du mindestens.5 Jahre oder mehr.</t>
  </si>
  <si>
    <t>Sie ist eine einfach oder mehrfach geschiedene Frau.</t>
  </si>
  <si>
    <t>Sie hat einen hohen Bodycount (Anzahl der Personen mit denen Sie Sex hatte). So kannst du einen normalen BodyCount berechnen: (Alter - 18) x 1.3 = BodyCount</t>
  </si>
  <si>
    <t>Sie war sehr jung (zwischen 12-16 Jahre) als Sie ihr erstes mal Sex hatte.</t>
  </si>
  <si>
    <t>Die meisten und besten Ihrer Freundinnen sind Party Girls.</t>
  </si>
  <si>
    <t>Sie ist auf Social Media sehr aktiv und sucht dort Bestätigung. Sie hat auf einer Plattform über 800 Follower.</t>
  </si>
  <si>
    <t>Sie hat sehr häufig ihr Smartphone bei euren Treffen in der Hand beziehungsweise legt das Handy direkt vor sich auf den Tisch.</t>
  </si>
  <si>
    <t>Sie kann sich nicht entspannen oder einfach mal nichts tun und muss ständig aktiv sein.</t>
  </si>
  <si>
    <t>Sie hat einen moralisch gesehen einen schlechten Freundeskreis.</t>
  </si>
  <si>
    <t>Sie ist häufig mit vielen Männer privat umgeben und trifft sich mit diesen.</t>
  </si>
  <si>
    <t>Sie hat regelmäßig Kontakt zu einem Ihrer Exfreunde z.B emotionalen Kontakt.</t>
  </si>
  <si>
    <t>Einer ihrer Exfreunde war aus Ihrer Sicht besonders toxisch oder ein klassischer Badboy.</t>
  </si>
  <si>
    <t>Sie stellt Ihre Karriere mit dir gleich oder über dich.</t>
  </si>
  <si>
    <t>Sie hat einen Überschuss an körperlich maskuliner Energie und ist eher dominant.</t>
  </si>
  <si>
    <t>Sie empfindet eine starke Eifersucht.</t>
  </si>
  <si>
    <t>Sie stellt Kleinigkeiten viel bedeutungsvoller dar als sie sind um häufig damit im Zentrum der Aufmerksamkeit zu stehen.</t>
  </si>
  <si>
    <t>Sie nörgelt häufig rum und gibt sich mit nichts zufrieden.</t>
  </si>
  <si>
    <t>Sie ist stark tätoviert oder gepierct. (mehr als 4 Tatoos)</t>
  </si>
  <si>
    <t>Sie hat eher oberflächliche Schönheits Operationen über sich ergehen lassen besonders im Gesicht.</t>
  </si>
  <si>
    <t>Sie benutzt übermäßg häufig und starke MakeUps oder Cremes.</t>
  </si>
  <si>
    <t>Sie hat kurze Haare kürzer als 10cm.</t>
  </si>
  <si>
    <t>Sie ist selbst verschuldet stark übergewichtig.</t>
  </si>
  <si>
    <t>Sie verletzt sich körperlich selbst.</t>
  </si>
  <si>
    <t>Sie redet ohne Grund von selbst bei den Treffen häufig über Ihren Exfreund.</t>
  </si>
  <si>
    <t>Sie ist Drogen oder Medikamenten Abhängig z.B. trinkt sehr häufig Alkohol Schlaftabletten Antidepressiva etc.</t>
  </si>
  <si>
    <t>Sie kann schlecht mit Geld umgehen.</t>
  </si>
  <si>
    <t>Sie ist im allgemeinen sehr verwöhnt und möchte häufig wie eine Prinzessin gehandelt werden.</t>
  </si>
  <si>
    <t>Sie hat einen verfrühten Babywunsch für Ihr Alter.</t>
  </si>
  <si>
    <t>Sie lügt häufig und entschuldigt sich dafür nicht.</t>
  </si>
  <si>
    <t>Sie ruft ab und zu Unsicherheiten in dir hervor.</t>
  </si>
  <si>
    <t>Sie vermittelt dir den Glauben - Sie ist der Preis / wertvoll - du aber eher nicht.</t>
  </si>
  <si>
    <t>Sie nutzt Intimität als Belohnung aus.</t>
  </si>
  <si>
    <t>Sie stellt dich vor anderen Bloß wenn sie nicht in deinem Team mitspielt. Sie hält nicht zu dir in sozialen Situationen.</t>
  </si>
  <si>
    <t>Sie bestraft dich mit Stille ohne es dir vorher zu kommunizieren dass Sie Ruhe braucht.</t>
  </si>
  <si>
    <t>Sie trägt keine Verantwortung für Ihr Handeln und verdreht häufig die Realität.</t>
  </si>
  <si>
    <t>Sie ist Trans oder Gender Fluid und kennt Ihre Identität nicht.</t>
  </si>
  <si>
    <t>Sie benutzt Gender-Pronomen beim Sprechen oder auf Dating Plattformen.</t>
  </si>
  <si>
    <t>Sie hat nicht natürlich ausschauende und gefärbte Haare wie z.B. Pink Grün Rot ...</t>
  </si>
  <si>
    <t>Sie antwortet dir nicht bei einer Meinungsverschiedenheit oder einem Konflikt und macht sich rar.</t>
  </si>
  <si>
    <t>Sie hat einen niedrigen Sexdrive mit dir und nicht so leidenschaftlich.</t>
  </si>
  <si>
    <t>Sie reist viel und bevorzugt alleine in der Beziehung.</t>
  </si>
  <si>
    <t>Sie war in der Vergangenheit lange auf Dating Apps wie z.B. Tinder und Bumble unterwegs.</t>
  </si>
  <si>
    <t>Sie postet in Social Media sogenannte Thirst traps (Fotos die dazu dienen die männliche Aufmerksamkeit zu erregen).</t>
  </si>
  <si>
    <t>Sie ist ein langzeit Single (4+ Jahre).</t>
  </si>
  <si>
    <t>Sie ist ein frischer Single (0-4 Monate).</t>
  </si>
  <si>
    <t>Sie hatte in der Vergangenheit viele kurze Beziehungen (jeweils zwischen 3-8 Monate)</t>
  </si>
  <si>
    <t>Sie regiert häufig über und steigert sich häufig in Probleme.</t>
  </si>
  <si>
    <t>Sie zeigt nicht viel Empathie für deine Gefühle.</t>
  </si>
  <si>
    <t>Sie ist oft irritiert und abweisend von unterschiedlichen Standpunkten zu Meinungen die ihr nicht gefallen.</t>
  </si>
  <si>
    <t>Sie benutzt dich als Vertrauter ist aber kein Vertrauter für dich.</t>
  </si>
  <si>
    <t>Sie zeigt inkonsistenes Verhalten. Ihre Aussagen entsprechen nicht wie sich selbst gegenüber dir verhält.</t>
  </si>
  <si>
    <t>Sie kann nicht mit negativen Gefühlen von anderen Menschen umgehen und nimmt diese direkt auf.</t>
  </si>
  <si>
    <t>Fakten und Logik spielen für sie kaum eine Rolle in der Bildung Ihrer Meinung.</t>
  </si>
  <si>
    <t>Sie befindet sich gerade in psychologischer Therapie.</t>
  </si>
  <si>
    <t>Sie hat häufig keine Zeit für dich.</t>
  </si>
  <si>
    <t>Sie lästert stark und häufig über andere Menschen.</t>
  </si>
  <si>
    <t>Sie ist häufig unzuverlässig.</t>
  </si>
  <si>
    <t>Sie hat kein Selbstbewusstsein.</t>
  </si>
  <si>
    <t>Sie hat eine mangelnde Intelligenz oder Bildung.</t>
  </si>
  <si>
    <t>Sie kann nicht klar kommunizieren.</t>
  </si>
  <si>
    <t>Sie postet in Social Media sogenannte First Traps (Fotos die dazu dienen die männliche Aufmerksamkeit zu erregen).</t>
  </si>
  <si>
    <t>Standard DEV</t>
  </si>
  <si>
    <t>Average</t>
  </si>
  <si>
    <t>Max</t>
  </si>
  <si>
    <t>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</si>
</sst>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9.0"/>
      <color theme="1"/>
      <name val="Arial"/>
      <scheme val="minor"/>
    </font>
    <font>
      <sz val="9.0"/>
      <color theme="1"/>
      <name val="Arial"/>
      <scheme val="minor"/>
    </font>
    <font>
      <color theme="1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color rgb="FF000000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  <xf borderId="0" fillId="2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4" xfId="0" applyAlignment="1" applyFont="1" applyNumberFormat="1">
      <alignment readingOrder="0"/>
    </xf>
    <xf borderId="0" fillId="0" fontId="6" numFmtId="0" xfId="0" applyAlignment="1" applyFont="1">
      <alignment shrinkToFit="0" wrapText="0"/>
    </xf>
    <xf borderId="0" fillId="0" fontId="7" numFmtId="0" xfId="0" applyFont="1"/>
    <xf borderId="0" fillId="0" fontId="7" numFmtId="0" xfId="0" applyAlignment="1" applyFont="1">
      <alignment readingOrder="0"/>
    </xf>
    <xf borderId="0" fillId="3" fontId="7" numFmtId="0" xfId="0" applyAlignment="1" applyFill="1" applyFont="1">
      <alignment readingOrder="0"/>
    </xf>
    <xf borderId="0" fillId="0" fontId="3" numFmtId="0" xfId="0" applyFont="1"/>
    <xf borderId="0" fillId="4" fontId="8" numFmtId="0" xfId="0" applyAlignment="1" applyFill="1" applyFont="1">
      <alignment shrinkToFit="0" wrapText="0"/>
    </xf>
    <xf borderId="0" fillId="4" fontId="7" numFmtId="0" xfId="0" applyFont="1"/>
    <xf borderId="0" fillId="0" fontId="3" numFmtId="4" xfId="0" applyFont="1" applyNumberFormat="1"/>
    <xf borderId="0" fillId="4" fontId="7" numFmtId="0" xfId="0" applyAlignment="1" applyFont="1">
      <alignment readingOrder="0"/>
    </xf>
  </cellXfs>
  <cellStyles count="1">
    <cellStyle xfId="0" name="Normal" builtinId="0"/>
  </cellStyles>
  <dxfs count="1">
    <dxf>
      <font>
        <color rgb="FF00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6.25"/>
    <col customWidth="1" min="2" max="2" width="7.13"/>
    <col customWidth="1" min="3" max="3" width="5.25"/>
    <col customWidth="1" min="4" max="4" width="7.0"/>
    <col customWidth="1" min="5" max="5" width="4.13"/>
    <col customWidth="1" min="6" max="6" width="4.25"/>
    <col customWidth="1" min="7" max="7" width="5.75"/>
    <col customWidth="1" min="8" max="8" width="5.5"/>
    <col customWidth="1" min="9" max="9" width="7.63"/>
    <col customWidth="1" min="10" max="10" width="6.75"/>
    <col customWidth="1" min="11" max="11" width="6.0"/>
    <col customWidth="1" min="12" max="12" width="4.88"/>
    <col customWidth="1" min="13" max="13" width="6.75"/>
    <col customWidth="1" min="14" max="14" width="4.25"/>
    <col customWidth="1" min="15" max="15" width="5.75"/>
    <col customWidth="1" min="16" max="16" width="5.25"/>
    <col customWidth="1" min="17" max="17" width="7.0"/>
    <col customWidth="1" min="18" max="18" width="6.63"/>
    <col customWidth="1" min="19" max="19" width="6.13"/>
    <col customWidth="1" min="20" max="20" width="6.38"/>
    <col customWidth="1" min="21" max="21" width="4.63"/>
    <col customWidth="1" min="22" max="22" width="5.0"/>
    <col customWidth="1" min="23" max="23" width="5.75"/>
    <col customWidth="1" min="24" max="24" width="5.38"/>
    <col customWidth="1" min="25" max="25" width="6.88"/>
    <col customWidth="1" min="26" max="26" width="6.63"/>
  </cols>
  <sheetData>
    <row r="1" ht="18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8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18</v>
      </c>
      <c r="Y1" s="1" t="s">
        <v>20</v>
      </c>
      <c r="Z1" s="1" t="s">
        <v>21</v>
      </c>
    </row>
    <row r="2" ht="18.75" customHeight="1">
      <c r="A2" s="3" t="s">
        <v>22</v>
      </c>
      <c r="B2" s="4">
        <f>ROUND(redflag_questions_scores!B107,2)</f>
        <v>5.11</v>
      </c>
      <c r="C2" s="3">
        <v>7.0</v>
      </c>
      <c r="D2" s="3">
        <v>3.0</v>
      </c>
      <c r="E2" s="3">
        <v>5.0</v>
      </c>
      <c r="F2" s="3">
        <v>3.0</v>
      </c>
      <c r="G2" s="3">
        <v>6.0</v>
      </c>
      <c r="H2" s="3">
        <v>5.0</v>
      </c>
      <c r="I2" s="3">
        <v>7.0</v>
      </c>
      <c r="J2" s="3">
        <v>8.0</v>
      </c>
      <c r="K2" s="3">
        <v>7.0</v>
      </c>
      <c r="L2" s="3">
        <v>3.0</v>
      </c>
      <c r="M2" s="3">
        <v>4.0</v>
      </c>
      <c r="N2" s="3">
        <v>5.0</v>
      </c>
      <c r="O2" s="3">
        <v>4.0</v>
      </c>
      <c r="P2" s="3">
        <v>5.0</v>
      </c>
      <c r="Q2" s="3">
        <v>3.0</v>
      </c>
      <c r="R2" s="3">
        <v>7.0</v>
      </c>
      <c r="S2" s="3">
        <v>3.0</v>
      </c>
      <c r="T2" s="3">
        <v>5.0</v>
      </c>
      <c r="U2" s="3">
        <v>3.0</v>
      </c>
      <c r="V2" s="3">
        <v>1.0</v>
      </c>
      <c r="W2" s="3">
        <v>2.0</v>
      </c>
      <c r="X2" s="3">
        <v>3.0</v>
      </c>
      <c r="Y2" s="3">
        <v>7.0</v>
      </c>
      <c r="Z2" s="3">
        <v>7.0</v>
      </c>
    </row>
    <row r="3" ht="18.75" customHeight="1">
      <c r="A3" s="3" t="s">
        <v>23</v>
      </c>
      <c r="B3" s="4">
        <f>ROUND(redflag_questions_scores!B108,2)</f>
        <v>4.26</v>
      </c>
      <c r="C3" s="3">
        <v>6.0</v>
      </c>
      <c r="D3" s="3">
        <v>7.0</v>
      </c>
      <c r="E3" s="3">
        <v>7.0</v>
      </c>
      <c r="F3" s="3">
        <v>3.0</v>
      </c>
      <c r="G3" s="3">
        <v>7.0</v>
      </c>
      <c r="H3" s="3">
        <v>7.0</v>
      </c>
      <c r="I3" s="3">
        <v>6.0</v>
      </c>
      <c r="J3" s="3">
        <v>5.0</v>
      </c>
      <c r="K3" s="3">
        <v>5.0</v>
      </c>
      <c r="L3" s="3">
        <v>3.0</v>
      </c>
      <c r="M3" s="3">
        <v>3.0</v>
      </c>
      <c r="N3" s="3">
        <v>3.0</v>
      </c>
      <c r="O3" s="3">
        <v>3.0</v>
      </c>
      <c r="P3" s="3">
        <v>2.0</v>
      </c>
      <c r="Q3" s="3">
        <v>3.0</v>
      </c>
      <c r="R3" s="3">
        <v>5.0</v>
      </c>
      <c r="S3" s="3">
        <v>3.0</v>
      </c>
      <c r="T3" s="3">
        <v>5.0</v>
      </c>
      <c r="U3" s="3">
        <v>4.0</v>
      </c>
      <c r="V3" s="3">
        <v>1.0</v>
      </c>
      <c r="W3" s="3">
        <v>3.0</v>
      </c>
      <c r="X3" s="3">
        <v>6.0</v>
      </c>
      <c r="Y3" s="3">
        <v>7.0</v>
      </c>
      <c r="Z3" s="3">
        <v>5.0</v>
      </c>
    </row>
    <row r="4" ht="18.75" customHeight="1">
      <c r="A4" s="3" t="s">
        <v>24</v>
      </c>
      <c r="B4" s="4">
        <f>ROUND(redflag_questions_scores!B109,2)</f>
        <v>4.06</v>
      </c>
      <c r="C4" s="3">
        <v>5.0</v>
      </c>
      <c r="D4" s="3">
        <v>6.0</v>
      </c>
      <c r="E4" s="3">
        <v>6.0</v>
      </c>
      <c r="F4" s="3">
        <v>3.0</v>
      </c>
      <c r="G4" s="3">
        <v>8.0</v>
      </c>
      <c r="H4" s="3">
        <v>7.0</v>
      </c>
      <c r="I4" s="3">
        <v>4.0</v>
      </c>
      <c r="J4" s="3">
        <v>5.0</v>
      </c>
      <c r="K4" s="3">
        <v>3.0</v>
      </c>
      <c r="L4" s="3">
        <v>6.0</v>
      </c>
      <c r="M4" s="3">
        <v>1.0</v>
      </c>
      <c r="N4" s="3">
        <v>7.0</v>
      </c>
      <c r="O4" s="3">
        <v>7.0</v>
      </c>
      <c r="P4" s="3">
        <v>5.0</v>
      </c>
      <c r="Q4" s="3">
        <v>3.0</v>
      </c>
      <c r="R4" s="3">
        <v>4.0</v>
      </c>
      <c r="S4" s="3">
        <v>4.0</v>
      </c>
      <c r="T4" s="3">
        <v>5.0</v>
      </c>
      <c r="U4" s="3">
        <v>2.0</v>
      </c>
      <c r="V4" s="3">
        <v>1.0</v>
      </c>
      <c r="W4" s="3">
        <v>3.0</v>
      </c>
      <c r="X4" s="3">
        <v>2.0</v>
      </c>
      <c r="Y4" s="3">
        <v>3.0</v>
      </c>
      <c r="Z4" s="3">
        <v>3.0</v>
      </c>
    </row>
    <row r="5" ht="18.75" customHeight="1">
      <c r="A5" s="3" t="s">
        <v>25</v>
      </c>
      <c r="B5" s="4">
        <f>ROUND(redflag_questions_scores!B110,2)</f>
        <v>6.13</v>
      </c>
      <c r="C5" s="3">
        <v>8.0</v>
      </c>
      <c r="D5" s="3">
        <v>10.0</v>
      </c>
      <c r="E5" s="3">
        <v>10.0</v>
      </c>
      <c r="F5" s="3">
        <v>5.0</v>
      </c>
      <c r="G5" s="3">
        <v>10.0</v>
      </c>
      <c r="H5" s="3">
        <v>9.0</v>
      </c>
      <c r="I5" s="3">
        <v>10.0</v>
      </c>
      <c r="J5" s="3">
        <v>10.0</v>
      </c>
      <c r="K5" s="3">
        <v>5.0</v>
      </c>
      <c r="L5" s="3">
        <v>10.0</v>
      </c>
      <c r="M5" s="3">
        <v>7.0</v>
      </c>
      <c r="N5" s="3">
        <v>9.0</v>
      </c>
      <c r="O5" s="3">
        <v>10.0</v>
      </c>
      <c r="P5" s="3">
        <v>4.0</v>
      </c>
      <c r="Q5" s="3">
        <v>9.0</v>
      </c>
      <c r="R5" s="3">
        <v>5.0</v>
      </c>
      <c r="S5" s="3">
        <v>7.0</v>
      </c>
      <c r="T5" s="3">
        <v>7.0</v>
      </c>
      <c r="U5" s="3">
        <v>7.0</v>
      </c>
      <c r="V5" s="3">
        <v>4.0</v>
      </c>
      <c r="W5" s="3">
        <v>9.0</v>
      </c>
      <c r="X5" s="3">
        <v>1.0</v>
      </c>
      <c r="Y5" s="3">
        <v>1.0</v>
      </c>
      <c r="Z5" s="3">
        <v>8.0</v>
      </c>
    </row>
    <row r="6" ht="18.75" customHeight="1">
      <c r="A6" s="3" t="s">
        <v>26</v>
      </c>
      <c r="B6" s="4">
        <f>ROUND(redflag_questions_scores!B111,2)</f>
        <v>4.5</v>
      </c>
      <c r="C6" s="3">
        <v>5.0</v>
      </c>
      <c r="D6" s="3">
        <v>10.0</v>
      </c>
      <c r="E6" s="3">
        <v>6.0</v>
      </c>
      <c r="F6" s="3">
        <v>2.0</v>
      </c>
      <c r="G6" s="3">
        <v>7.0</v>
      </c>
      <c r="H6" s="3">
        <v>2.0</v>
      </c>
      <c r="I6" s="3">
        <v>2.0</v>
      </c>
      <c r="J6" s="3">
        <v>10.0</v>
      </c>
      <c r="K6" s="3">
        <v>3.0</v>
      </c>
      <c r="L6" s="3">
        <v>4.0</v>
      </c>
      <c r="M6" s="3">
        <v>4.0</v>
      </c>
      <c r="N6" s="3">
        <v>6.0</v>
      </c>
      <c r="O6" s="3">
        <v>2.0</v>
      </c>
      <c r="P6" s="3">
        <v>2.0</v>
      </c>
      <c r="Q6" s="3">
        <v>5.0</v>
      </c>
      <c r="R6" s="3">
        <v>4.0</v>
      </c>
      <c r="S6" s="3">
        <v>9.0</v>
      </c>
      <c r="T6" s="3">
        <v>6.0</v>
      </c>
      <c r="U6" s="3">
        <v>3.0</v>
      </c>
      <c r="V6" s="3">
        <v>7.0</v>
      </c>
      <c r="W6" s="3">
        <v>6.0</v>
      </c>
      <c r="X6" s="3">
        <v>3.0</v>
      </c>
      <c r="Y6" s="3">
        <v>5.0</v>
      </c>
      <c r="Z6" s="3">
        <v>4.0</v>
      </c>
    </row>
    <row r="7" ht="18.75" customHeight="1">
      <c r="A7" s="3" t="s">
        <v>27</v>
      </c>
      <c r="B7" s="4">
        <f>ROUND(redflag_questions_scores!B112,2)</f>
        <v>4.78</v>
      </c>
      <c r="C7" s="3">
        <v>8.0</v>
      </c>
      <c r="D7" s="3">
        <v>8.0</v>
      </c>
      <c r="E7" s="3">
        <v>1.0</v>
      </c>
      <c r="F7" s="3">
        <v>3.0</v>
      </c>
      <c r="G7" s="3">
        <v>6.0</v>
      </c>
      <c r="H7" s="3">
        <v>5.0</v>
      </c>
      <c r="I7" s="3">
        <v>8.0</v>
      </c>
      <c r="J7" s="3">
        <v>3.0</v>
      </c>
      <c r="K7" s="3">
        <v>9.0</v>
      </c>
      <c r="L7" s="3">
        <v>5.0</v>
      </c>
      <c r="M7" s="3">
        <v>5.0</v>
      </c>
      <c r="N7" s="3">
        <v>2.0</v>
      </c>
      <c r="O7" s="3">
        <v>3.0</v>
      </c>
      <c r="P7" s="3">
        <v>2.0</v>
      </c>
      <c r="Q7" s="3">
        <v>4.0</v>
      </c>
      <c r="R7" s="3">
        <v>4.0</v>
      </c>
      <c r="S7" s="3">
        <v>9.0</v>
      </c>
      <c r="T7" s="3">
        <v>7.0</v>
      </c>
      <c r="U7" s="3">
        <v>8.0</v>
      </c>
      <c r="V7" s="3">
        <v>7.0</v>
      </c>
      <c r="W7" s="3">
        <v>6.0</v>
      </c>
      <c r="X7" s="3">
        <v>1.0</v>
      </c>
      <c r="Y7" s="3">
        <v>4.0</v>
      </c>
      <c r="Z7" s="3">
        <v>2.0</v>
      </c>
    </row>
    <row r="8" ht="18.75" customHeight="1">
      <c r="A8" s="3" t="s">
        <v>28</v>
      </c>
      <c r="B8" s="4">
        <f>ROUND(redflag_questions_scores!B113,2)</f>
        <v>6.43</v>
      </c>
      <c r="C8" s="3">
        <v>9.0</v>
      </c>
      <c r="D8" s="3">
        <v>10.0</v>
      </c>
      <c r="E8" s="3">
        <v>8.0</v>
      </c>
      <c r="F8" s="3">
        <v>5.0</v>
      </c>
      <c r="G8" s="3">
        <v>6.0</v>
      </c>
      <c r="H8" s="3">
        <v>3.0</v>
      </c>
      <c r="I8" s="3">
        <v>7.0</v>
      </c>
      <c r="J8" s="3">
        <v>5.0</v>
      </c>
      <c r="K8" s="3">
        <v>8.0</v>
      </c>
      <c r="L8" s="3">
        <v>5.0</v>
      </c>
      <c r="M8" s="3">
        <v>7.0</v>
      </c>
      <c r="N8" s="3">
        <v>8.0</v>
      </c>
      <c r="O8" s="3">
        <v>4.0</v>
      </c>
      <c r="P8" s="3">
        <v>8.0</v>
      </c>
      <c r="Q8" s="3">
        <v>6.0</v>
      </c>
      <c r="R8" s="3">
        <v>7.0</v>
      </c>
      <c r="S8" s="3">
        <v>5.0</v>
      </c>
      <c r="T8" s="3">
        <v>7.0</v>
      </c>
      <c r="U8" s="3">
        <v>6.0</v>
      </c>
      <c r="V8" s="3">
        <v>8.0</v>
      </c>
      <c r="W8" s="3">
        <v>5.0</v>
      </c>
      <c r="X8" s="3">
        <v>8.0</v>
      </c>
      <c r="Y8" s="3">
        <v>4.0</v>
      </c>
      <c r="Z8" s="3">
        <v>7.0</v>
      </c>
    </row>
    <row r="9" ht="18.75" customHeight="1">
      <c r="A9" s="3" t="s">
        <v>29</v>
      </c>
      <c r="B9" s="4">
        <f>ROUND(redflag_questions_scores!B114,2)</f>
        <v>5.78</v>
      </c>
      <c r="C9" s="3">
        <v>9.0</v>
      </c>
      <c r="D9" s="3">
        <v>10.0</v>
      </c>
      <c r="E9" s="3">
        <v>8.0</v>
      </c>
      <c r="F9" s="3">
        <v>5.0</v>
      </c>
      <c r="G9" s="3">
        <v>4.0</v>
      </c>
      <c r="H9" s="3">
        <v>9.0</v>
      </c>
      <c r="I9" s="3">
        <v>8.0</v>
      </c>
      <c r="J9" s="3">
        <v>7.0</v>
      </c>
      <c r="K9" s="3">
        <v>3.0</v>
      </c>
      <c r="L9" s="3">
        <v>7.0</v>
      </c>
      <c r="M9" s="3">
        <v>5.0</v>
      </c>
      <c r="N9" s="3">
        <v>8.0</v>
      </c>
      <c r="O9" s="3">
        <v>6.0</v>
      </c>
      <c r="P9" s="3">
        <v>8.0</v>
      </c>
      <c r="Q9" s="3">
        <v>4.0</v>
      </c>
      <c r="R9" s="3">
        <v>8.0</v>
      </c>
      <c r="S9" s="3">
        <v>4.0</v>
      </c>
      <c r="T9" s="3">
        <v>7.0</v>
      </c>
      <c r="U9" s="3">
        <v>5.0</v>
      </c>
      <c r="V9" s="3">
        <v>1.0</v>
      </c>
      <c r="W9" s="3">
        <v>8.0</v>
      </c>
      <c r="X9" s="3">
        <v>7.0</v>
      </c>
      <c r="Y9" s="3">
        <v>3.0</v>
      </c>
      <c r="Z9" s="3">
        <v>7.0</v>
      </c>
    </row>
    <row r="10" ht="18.75" customHeight="1">
      <c r="A10" s="3" t="s">
        <v>30</v>
      </c>
      <c r="B10" s="4">
        <f>ROUND(redflag_questions_scores!B115,2)</f>
        <v>4.35</v>
      </c>
      <c r="C10" s="3">
        <v>10.0</v>
      </c>
      <c r="D10" s="3">
        <v>10.0</v>
      </c>
      <c r="E10" s="3">
        <v>9.0</v>
      </c>
      <c r="F10" s="3">
        <v>2.0</v>
      </c>
      <c r="G10" s="3">
        <v>4.0</v>
      </c>
      <c r="H10" s="3">
        <v>10.0</v>
      </c>
      <c r="I10" s="3">
        <v>5.0</v>
      </c>
      <c r="J10" s="3">
        <v>6.0</v>
      </c>
      <c r="K10" s="3">
        <v>2.0</v>
      </c>
      <c r="L10" s="3">
        <v>4.0</v>
      </c>
      <c r="M10" s="3">
        <v>3.0</v>
      </c>
      <c r="N10" s="3">
        <v>6.0</v>
      </c>
      <c r="O10" s="3">
        <v>3.0</v>
      </c>
      <c r="P10" s="3">
        <v>2.0</v>
      </c>
      <c r="Q10" s="3">
        <v>1.0</v>
      </c>
      <c r="R10" s="3">
        <v>5.0</v>
      </c>
      <c r="S10" s="3">
        <v>1.0</v>
      </c>
      <c r="T10" s="3">
        <v>4.0</v>
      </c>
      <c r="U10" s="3">
        <v>4.0</v>
      </c>
      <c r="V10" s="3">
        <v>1.0</v>
      </c>
      <c r="W10" s="3">
        <v>2.0</v>
      </c>
      <c r="X10" s="3">
        <v>3.0</v>
      </c>
      <c r="Y10" s="5">
        <v>6.0</v>
      </c>
      <c r="Z10" s="3">
        <v>5.0</v>
      </c>
    </row>
    <row r="11" ht="18.75" customHeight="1">
      <c r="A11" s="3" t="s">
        <v>31</v>
      </c>
      <c r="B11" s="4">
        <f>ROUND(redflag_questions_scores!B116,2)</f>
        <v>4.8</v>
      </c>
      <c r="C11" s="3">
        <v>9.0</v>
      </c>
      <c r="D11" s="3">
        <v>8.0</v>
      </c>
      <c r="E11" s="3">
        <v>6.0</v>
      </c>
      <c r="F11" s="3">
        <v>3.0</v>
      </c>
      <c r="G11" s="3">
        <v>4.0</v>
      </c>
      <c r="H11" s="3">
        <v>5.0</v>
      </c>
      <c r="I11" s="3">
        <v>3.0</v>
      </c>
      <c r="J11" s="3">
        <v>5.0</v>
      </c>
      <c r="K11" s="3">
        <v>2.0</v>
      </c>
      <c r="L11" s="3">
        <v>8.0</v>
      </c>
      <c r="M11" s="3">
        <v>4.0</v>
      </c>
      <c r="N11" s="3">
        <v>8.0</v>
      </c>
      <c r="O11" s="3">
        <v>6.0</v>
      </c>
      <c r="P11" s="3">
        <v>1.0</v>
      </c>
      <c r="Q11" s="3">
        <v>5.0</v>
      </c>
      <c r="R11" s="3">
        <v>7.0</v>
      </c>
      <c r="S11" s="3">
        <v>6.0</v>
      </c>
      <c r="T11" s="3">
        <v>4.0</v>
      </c>
      <c r="U11" s="3">
        <v>7.0</v>
      </c>
      <c r="V11" s="3">
        <v>2.0</v>
      </c>
      <c r="W11" s="3">
        <v>9.0</v>
      </c>
      <c r="X11" s="3">
        <v>8.0</v>
      </c>
      <c r="Y11" s="3">
        <v>3.0</v>
      </c>
      <c r="Z11" s="3">
        <v>9.0</v>
      </c>
    </row>
    <row r="12" ht="18.75" customHeight="1">
      <c r="A12" s="3" t="s">
        <v>32</v>
      </c>
      <c r="B12" s="4">
        <f>ROUND(redflag_questions_scores!B117,2)</f>
        <v>5.12</v>
      </c>
      <c r="C12" s="3">
        <v>6.0</v>
      </c>
      <c r="D12" s="3">
        <v>7.0</v>
      </c>
      <c r="E12" s="3">
        <v>8.0</v>
      </c>
      <c r="F12" s="3">
        <v>5.0</v>
      </c>
      <c r="G12" s="3">
        <v>5.0</v>
      </c>
      <c r="H12" s="3">
        <v>7.0</v>
      </c>
      <c r="I12" s="3">
        <v>8.0</v>
      </c>
      <c r="J12" s="3">
        <v>4.0</v>
      </c>
      <c r="K12" s="3">
        <v>2.0</v>
      </c>
      <c r="L12" s="3">
        <v>10.0</v>
      </c>
      <c r="M12" s="3">
        <v>7.0</v>
      </c>
      <c r="N12" s="3">
        <v>10.0</v>
      </c>
      <c r="O12" s="3">
        <v>8.0</v>
      </c>
      <c r="P12" s="3">
        <v>9.0</v>
      </c>
      <c r="Q12" s="3">
        <v>8.0</v>
      </c>
      <c r="R12" s="3">
        <v>6.0</v>
      </c>
      <c r="S12" s="3">
        <v>6.0</v>
      </c>
      <c r="T12" s="3">
        <v>7.0</v>
      </c>
      <c r="U12" s="3">
        <v>5.0</v>
      </c>
      <c r="V12" s="3">
        <v>8.0</v>
      </c>
      <c r="W12" s="3">
        <v>5.0</v>
      </c>
      <c r="X12" s="3">
        <v>10.0</v>
      </c>
      <c r="Y12" s="3">
        <v>7.0</v>
      </c>
      <c r="Z12" s="3">
        <v>5.0</v>
      </c>
    </row>
    <row r="13" ht="18.75" customHeight="1">
      <c r="A13" s="3" t="s">
        <v>33</v>
      </c>
      <c r="B13" s="4">
        <f>ROUND(redflag_questions_scores!B118,2)</f>
        <v>4.05</v>
      </c>
      <c r="C13" s="3">
        <v>5.0</v>
      </c>
      <c r="D13" s="3">
        <v>4.0</v>
      </c>
      <c r="E13" s="5">
        <v>7.0</v>
      </c>
      <c r="F13" s="3">
        <v>4.0</v>
      </c>
      <c r="G13" s="3">
        <v>8.0</v>
      </c>
      <c r="H13" s="3">
        <v>8.0</v>
      </c>
      <c r="I13" s="3">
        <v>6.0</v>
      </c>
      <c r="J13" s="3">
        <v>4.0</v>
      </c>
      <c r="K13" s="3">
        <v>5.0</v>
      </c>
      <c r="L13" s="3">
        <v>6.0</v>
      </c>
      <c r="M13" s="3">
        <v>6.0</v>
      </c>
      <c r="N13" s="3">
        <v>5.0</v>
      </c>
      <c r="O13" s="3">
        <v>8.0</v>
      </c>
      <c r="P13" s="3">
        <v>7.0</v>
      </c>
      <c r="Q13" s="3">
        <v>7.0</v>
      </c>
      <c r="R13" s="3">
        <v>7.0</v>
      </c>
      <c r="S13" s="3">
        <v>3.0</v>
      </c>
      <c r="T13" s="3">
        <v>7.0</v>
      </c>
      <c r="U13" s="3">
        <v>6.0</v>
      </c>
      <c r="V13" s="3">
        <v>5.0</v>
      </c>
      <c r="W13" s="3">
        <v>8.0</v>
      </c>
      <c r="X13" s="3">
        <v>3.0</v>
      </c>
      <c r="Y13" s="3">
        <v>8.0</v>
      </c>
      <c r="Z13" s="3">
        <v>8.0</v>
      </c>
    </row>
    <row r="14" ht="18.75" customHeight="1">
      <c r="A14" s="3" t="s">
        <v>34</v>
      </c>
      <c r="B14" s="4">
        <f>ROUND(redflag_questions_scores!B119,2)</f>
        <v>5.81</v>
      </c>
      <c r="C14" s="3">
        <v>8.0</v>
      </c>
      <c r="D14" s="3">
        <v>1.0</v>
      </c>
      <c r="E14" s="3">
        <v>8.0</v>
      </c>
      <c r="F14" s="3">
        <v>7.0</v>
      </c>
      <c r="G14" s="3">
        <v>8.0</v>
      </c>
      <c r="H14" s="3">
        <v>3.0</v>
      </c>
      <c r="I14" s="3">
        <v>6.0</v>
      </c>
      <c r="J14" s="3">
        <v>6.0</v>
      </c>
      <c r="K14" s="3">
        <v>3.0</v>
      </c>
      <c r="L14" s="3">
        <v>7.0</v>
      </c>
      <c r="M14" s="3">
        <v>5.0</v>
      </c>
      <c r="N14" s="3">
        <v>9.0</v>
      </c>
      <c r="O14" s="3">
        <v>7.0</v>
      </c>
      <c r="P14" s="3">
        <v>6.0</v>
      </c>
      <c r="Q14" s="3">
        <v>4.0</v>
      </c>
      <c r="R14" s="3">
        <v>7.0</v>
      </c>
      <c r="S14" s="3">
        <v>1.0</v>
      </c>
      <c r="T14" s="3">
        <v>8.0</v>
      </c>
      <c r="U14" s="3">
        <v>7.0</v>
      </c>
      <c r="V14" s="3">
        <v>6.0</v>
      </c>
      <c r="W14" s="3">
        <v>10.0</v>
      </c>
      <c r="X14" s="3">
        <v>1.0</v>
      </c>
      <c r="Y14" s="3">
        <v>4.0</v>
      </c>
      <c r="Z14" s="3">
        <v>3.0</v>
      </c>
    </row>
    <row r="15" ht="18.75" customHeight="1">
      <c r="A15" s="3" t="s">
        <v>35</v>
      </c>
      <c r="B15" s="4">
        <f>ROUND(redflag_questions_scores!B120,2)</f>
        <v>7.17</v>
      </c>
      <c r="C15" s="3">
        <v>7.0</v>
      </c>
      <c r="D15" s="3">
        <v>8.0</v>
      </c>
      <c r="E15" s="3">
        <v>10.0</v>
      </c>
      <c r="F15" s="3">
        <v>6.0</v>
      </c>
      <c r="G15" s="3">
        <v>5.0</v>
      </c>
      <c r="H15" s="3">
        <v>10.0</v>
      </c>
      <c r="I15" s="3">
        <v>6.0</v>
      </c>
      <c r="J15" s="3">
        <v>7.0</v>
      </c>
      <c r="K15" s="3">
        <v>6.0</v>
      </c>
      <c r="L15" s="3">
        <v>8.0</v>
      </c>
      <c r="M15" s="3">
        <v>9.0</v>
      </c>
      <c r="N15" s="3">
        <v>7.0</v>
      </c>
      <c r="O15" s="3">
        <v>2.0</v>
      </c>
      <c r="P15" s="3">
        <v>7.0</v>
      </c>
      <c r="Q15" s="3">
        <v>7.0</v>
      </c>
      <c r="R15" s="3">
        <v>9.0</v>
      </c>
      <c r="S15" s="3">
        <v>7.0</v>
      </c>
      <c r="T15" s="3">
        <v>7.0</v>
      </c>
      <c r="U15" s="3">
        <v>6.0</v>
      </c>
      <c r="V15" s="3">
        <v>9.0</v>
      </c>
      <c r="W15" s="3">
        <v>10.0</v>
      </c>
      <c r="X15" s="3">
        <v>8.0</v>
      </c>
      <c r="Y15" s="3">
        <v>8.0</v>
      </c>
      <c r="Z15" s="3">
        <v>9.0</v>
      </c>
    </row>
    <row r="16" ht="18.75" customHeight="1">
      <c r="A16" s="3" t="s">
        <v>36</v>
      </c>
      <c r="B16" s="4">
        <f>ROUND(redflag_questions_scores!B121,2)</f>
        <v>5.08</v>
      </c>
      <c r="C16" s="3">
        <v>10.0</v>
      </c>
      <c r="D16" s="3">
        <v>3.0</v>
      </c>
      <c r="E16" s="3">
        <v>7.0</v>
      </c>
      <c r="F16" s="3">
        <v>4.0</v>
      </c>
      <c r="G16" s="3">
        <v>7.0</v>
      </c>
      <c r="H16" s="3">
        <v>6.0</v>
      </c>
      <c r="I16" s="3">
        <v>4.0</v>
      </c>
      <c r="J16" s="3">
        <v>7.0</v>
      </c>
      <c r="K16" s="3">
        <v>4.0</v>
      </c>
      <c r="L16" s="3">
        <v>10.0</v>
      </c>
      <c r="M16" s="3">
        <v>1.0</v>
      </c>
      <c r="N16" s="3">
        <v>4.0</v>
      </c>
      <c r="O16" s="3">
        <v>3.0</v>
      </c>
      <c r="P16" s="3">
        <v>7.0</v>
      </c>
      <c r="Q16" s="3">
        <v>3.0</v>
      </c>
      <c r="R16" s="3">
        <v>7.0</v>
      </c>
      <c r="S16" s="3">
        <v>3.0</v>
      </c>
      <c r="T16" s="3">
        <v>6.0</v>
      </c>
      <c r="U16" s="3">
        <v>7.0</v>
      </c>
      <c r="V16" s="3">
        <v>3.0</v>
      </c>
      <c r="W16" s="3">
        <v>8.0</v>
      </c>
      <c r="X16" s="3">
        <v>4.0</v>
      </c>
      <c r="Y16" s="3">
        <v>5.0</v>
      </c>
      <c r="Z16" s="3">
        <v>6.0</v>
      </c>
    </row>
    <row r="17" ht="18.75" customHeight="1">
      <c r="A17" s="3" t="s">
        <v>37</v>
      </c>
      <c r="B17" s="4">
        <f>ROUND(redflag_questions_scores!B122,2)</f>
        <v>4.4</v>
      </c>
      <c r="C17" s="3">
        <v>6.0</v>
      </c>
      <c r="D17" s="3">
        <v>8.0</v>
      </c>
      <c r="E17" s="3">
        <v>5.0</v>
      </c>
      <c r="F17" s="3">
        <v>7.0</v>
      </c>
      <c r="G17" s="3">
        <v>4.0</v>
      </c>
      <c r="H17" s="3">
        <v>6.0</v>
      </c>
      <c r="I17" s="3">
        <v>10.0</v>
      </c>
      <c r="J17" s="3">
        <v>10.0</v>
      </c>
      <c r="K17" s="3">
        <v>3.0</v>
      </c>
      <c r="L17" s="3">
        <v>4.0</v>
      </c>
      <c r="M17" s="3">
        <v>3.0</v>
      </c>
      <c r="N17" s="3">
        <v>7.0</v>
      </c>
      <c r="O17" s="3">
        <v>2.0</v>
      </c>
      <c r="P17" s="3">
        <v>4.0</v>
      </c>
      <c r="Q17" s="3">
        <v>8.0</v>
      </c>
      <c r="R17" s="3">
        <v>6.0</v>
      </c>
      <c r="S17" s="3">
        <v>6.0</v>
      </c>
      <c r="T17" s="3">
        <v>6.0</v>
      </c>
      <c r="U17" s="3">
        <v>5.0</v>
      </c>
      <c r="V17" s="3">
        <v>4.0</v>
      </c>
      <c r="W17" s="3">
        <v>7.0</v>
      </c>
      <c r="X17" s="3">
        <v>5.0</v>
      </c>
      <c r="Y17" s="3">
        <v>4.0</v>
      </c>
      <c r="Z17" s="3">
        <v>8.0</v>
      </c>
    </row>
    <row r="18" ht="18.75" customHeight="1">
      <c r="A18" s="3" t="s">
        <v>38</v>
      </c>
      <c r="B18" s="4">
        <f>ROUND(redflag_questions_scores!B123,2)</f>
        <v>5.33</v>
      </c>
      <c r="C18" s="3">
        <v>10.0</v>
      </c>
      <c r="D18" s="3">
        <v>9.0</v>
      </c>
      <c r="E18" s="3">
        <v>4.0</v>
      </c>
      <c r="F18" s="3">
        <v>4.0</v>
      </c>
      <c r="G18" s="3">
        <v>6.0</v>
      </c>
      <c r="H18" s="3">
        <v>3.0</v>
      </c>
      <c r="I18" s="3">
        <v>7.0</v>
      </c>
      <c r="J18" s="3">
        <v>4.0</v>
      </c>
      <c r="K18" s="3">
        <v>1.0</v>
      </c>
      <c r="L18" s="3">
        <v>5.0</v>
      </c>
      <c r="M18" s="3">
        <v>7.0</v>
      </c>
      <c r="N18" s="3">
        <v>8.0</v>
      </c>
      <c r="O18" s="3">
        <v>4.0</v>
      </c>
      <c r="P18" s="3">
        <v>4.0</v>
      </c>
      <c r="Q18" s="3">
        <v>4.0</v>
      </c>
      <c r="R18" s="3">
        <v>6.0</v>
      </c>
      <c r="S18" s="3">
        <v>1.0</v>
      </c>
      <c r="T18" s="3">
        <v>5.0</v>
      </c>
      <c r="U18" s="3">
        <v>3.0</v>
      </c>
      <c r="V18" s="3">
        <v>2.0</v>
      </c>
      <c r="W18" s="3">
        <v>7.0</v>
      </c>
      <c r="X18" s="3">
        <v>4.0</v>
      </c>
      <c r="Y18" s="3">
        <v>4.0</v>
      </c>
      <c r="Z18" s="3">
        <v>3.0</v>
      </c>
    </row>
    <row r="19" ht="18.75" customHeight="1">
      <c r="A19" s="3" t="s">
        <v>39</v>
      </c>
      <c r="B19" s="4">
        <f>ROUND(redflag_questions_scores!B124,2)</f>
        <v>5.72</v>
      </c>
      <c r="C19" s="3">
        <v>7.0</v>
      </c>
      <c r="D19" s="3">
        <v>10.0</v>
      </c>
      <c r="E19" s="3">
        <v>4.0</v>
      </c>
      <c r="F19" s="3">
        <v>6.0</v>
      </c>
      <c r="G19" s="3">
        <v>3.0</v>
      </c>
      <c r="H19" s="3">
        <v>5.0</v>
      </c>
      <c r="I19" s="3">
        <v>7.0</v>
      </c>
      <c r="J19" s="3">
        <v>3.0</v>
      </c>
      <c r="K19" s="3">
        <v>3.0</v>
      </c>
      <c r="L19" s="3">
        <v>6.0</v>
      </c>
      <c r="M19" s="3">
        <v>5.0</v>
      </c>
      <c r="N19" s="3">
        <v>8.0</v>
      </c>
      <c r="O19" s="3">
        <v>10.0</v>
      </c>
      <c r="P19" s="3">
        <v>3.0</v>
      </c>
      <c r="Q19" s="3">
        <v>8.0</v>
      </c>
      <c r="R19" s="3">
        <v>5.0</v>
      </c>
      <c r="S19" s="3">
        <v>6.0</v>
      </c>
      <c r="T19" s="3">
        <v>5.0</v>
      </c>
      <c r="U19" s="3">
        <v>8.0</v>
      </c>
      <c r="V19" s="3">
        <v>7.0</v>
      </c>
      <c r="W19" s="3">
        <v>10.0</v>
      </c>
      <c r="X19" s="3">
        <v>9.0</v>
      </c>
      <c r="Y19" s="3">
        <v>5.0</v>
      </c>
      <c r="Z19" s="3">
        <v>9.0</v>
      </c>
    </row>
    <row r="20" ht="18.75" customHeight="1">
      <c r="A20" s="3" t="s">
        <v>40</v>
      </c>
      <c r="B20" s="4">
        <f>ROUND(redflag_questions_scores!B125,2)</f>
        <v>4.23</v>
      </c>
      <c r="C20" s="3">
        <v>6.0</v>
      </c>
      <c r="D20" s="3">
        <v>5.0</v>
      </c>
      <c r="E20" s="3">
        <v>6.0</v>
      </c>
      <c r="F20" s="3">
        <v>7.0</v>
      </c>
      <c r="G20" s="3">
        <v>8.0</v>
      </c>
      <c r="H20" s="3">
        <v>7.0</v>
      </c>
      <c r="I20" s="3">
        <v>4.0</v>
      </c>
      <c r="J20" s="3">
        <v>2.0</v>
      </c>
      <c r="K20" s="3">
        <v>10.0</v>
      </c>
      <c r="L20" s="3">
        <v>5.0</v>
      </c>
      <c r="M20" s="3">
        <v>4.0</v>
      </c>
      <c r="N20" s="3">
        <v>4.0</v>
      </c>
      <c r="O20" s="3">
        <v>8.0</v>
      </c>
      <c r="P20" s="3">
        <v>3.0</v>
      </c>
      <c r="Q20" s="3">
        <v>3.0</v>
      </c>
      <c r="R20" s="3">
        <v>4.0</v>
      </c>
      <c r="S20" s="3">
        <v>5.0</v>
      </c>
      <c r="T20" s="3">
        <v>7.0</v>
      </c>
      <c r="U20" s="3">
        <v>4.0</v>
      </c>
      <c r="V20" s="3">
        <v>2.0</v>
      </c>
      <c r="W20" s="3">
        <v>10.0</v>
      </c>
      <c r="X20" s="3">
        <v>2.0</v>
      </c>
      <c r="Y20" s="3">
        <v>3.0</v>
      </c>
      <c r="Z20" s="3">
        <v>2.0</v>
      </c>
    </row>
    <row r="21" ht="18.75" customHeight="1">
      <c r="A21" s="3" t="s">
        <v>41</v>
      </c>
      <c r="B21" s="4">
        <f>ROUND(redflag_questions_scores!B126,2)</f>
        <v>6.17</v>
      </c>
      <c r="C21" s="3">
        <v>6.0</v>
      </c>
      <c r="D21" s="3">
        <v>4.0</v>
      </c>
      <c r="E21" s="3">
        <v>8.0</v>
      </c>
      <c r="F21" s="3">
        <v>5.0</v>
      </c>
      <c r="G21" s="3">
        <v>8.0</v>
      </c>
      <c r="H21" s="3">
        <v>7.0</v>
      </c>
      <c r="I21" s="3">
        <v>9.0</v>
      </c>
      <c r="J21" s="3">
        <v>1.0</v>
      </c>
      <c r="K21" s="3">
        <v>7.0</v>
      </c>
      <c r="L21" s="3">
        <v>6.0</v>
      </c>
      <c r="M21" s="3">
        <v>10.0</v>
      </c>
      <c r="N21" s="3">
        <v>6.0</v>
      </c>
      <c r="O21" s="3">
        <v>10.0</v>
      </c>
      <c r="P21" s="3">
        <v>8.0</v>
      </c>
      <c r="Q21" s="3">
        <v>9.0</v>
      </c>
      <c r="R21" s="3">
        <v>7.0</v>
      </c>
      <c r="S21" s="3">
        <v>6.0</v>
      </c>
      <c r="T21" s="3">
        <v>6.0</v>
      </c>
      <c r="U21" s="3">
        <v>6.0</v>
      </c>
      <c r="V21" s="3">
        <v>8.0</v>
      </c>
      <c r="W21" s="3">
        <v>6.0</v>
      </c>
      <c r="X21" s="3">
        <v>2.0</v>
      </c>
      <c r="Y21" s="3">
        <v>7.0</v>
      </c>
      <c r="Z21" s="3">
        <v>8.0</v>
      </c>
    </row>
    <row r="22" ht="18.75" customHeight="1">
      <c r="A22" s="3" t="s">
        <v>42</v>
      </c>
      <c r="B22" s="4">
        <f>ROUND(redflag_questions_scores!B127,2)</f>
        <v>4.98</v>
      </c>
      <c r="C22" s="3">
        <v>10.0</v>
      </c>
      <c r="D22" s="3">
        <v>9.0</v>
      </c>
      <c r="E22" s="3">
        <v>7.0</v>
      </c>
      <c r="F22" s="3">
        <v>5.0</v>
      </c>
      <c r="G22" s="3">
        <v>6.0</v>
      </c>
      <c r="H22" s="3">
        <v>8.0</v>
      </c>
      <c r="I22" s="3">
        <v>8.0</v>
      </c>
      <c r="J22" s="3">
        <v>4.0</v>
      </c>
      <c r="K22" s="3">
        <v>5.0</v>
      </c>
      <c r="L22" s="3">
        <v>7.0</v>
      </c>
      <c r="M22" s="3">
        <v>6.0</v>
      </c>
      <c r="N22" s="3">
        <v>9.0</v>
      </c>
      <c r="O22" s="3">
        <v>9.0</v>
      </c>
      <c r="P22" s="3">
        <v>8.0</v>
      </c>
      <c r="Q22" s="3">
        <v>8.0</v>
      </c>
      <c r="R22" s="3">
        <v>6.0</v>
      </c>
      <c r="S22" s="3">
        <v>6.0</v>
      </c>
      <c r="T22" s="3">
        <v>8.0</v>
      </c>
      <c r="U22" s="3">
        <v>4.0</v>
      </c>
      <c r="V22" s="3">
        <v>7.0</v>
      </c>
      <c r="W22" s="3">
        <v>8.0</v>
      </c>
      <c r="X22" s="3">
        <v>7.0</v>
      </c>
      <c r="Y22" s="3">
        <v>3.0</v>
      </c>
      <c r="Z22" s="3">
        <v>4.0</v>
      </c>
    </row>
    <row r="23" ht="18.75" customHeight="1">
      <c r="A23" s="3" t="s">
        <v>43</v>
      </c>
      <c r="B23" s="4">
        <f>ROUND(redflag_questions_scores!B128,2)</f>
        <v>6.4</v>
      </c>
      <c r="C23" s="3">
        <v>7.0</v>
      </c>
      <c r="D23" s="3">
        <v>9.0</v>
      </c>
      <c r="E23" s="3">
        <v>10.0</v>
      </c>
      <c r="F23" s="3">
        <v>5.0</v>
      </c>
      <c r="G23" s="3">
        <v>5.0</v>
      </c>
      <c r="H23" s="3">
        <v>8.0</v>
      </c>
      <c r="I23" s="3">
        <v>10.0</v>
      </c>
      <c r="J23" s="3">
        <v>7.0</v>
      </c>
      <c r="K23" s="3">
        <v>9.0</v>
      </c>
      <c r="L23" s="3">
        <v>9.0</v>
      </c>
      <c r="M23" s="3">
        <v>10.0</v>
      </c>
      <c r="N23" s="3">
        <v>8.0</v>
      </c>
      <c r="O23" s="3">
        <v>9.0</v>
      </c>
      <c r="P23" s="3">
        <v>7.0</v>
      </c>
      <c r="Q23" s="3">
        <v>9.0</v>
      </c>
      <c r="R23" s="3">
        <v>9.0</v>
      </c>
      <c r="S23" s="3">
        <v>5.0</v>
      </c>
      <c r="T23" s="3">
        <v>7.0</v>
      </c>
      <c r="U23" s="3">
        <v>6.0</v>
      </c>
      <c r="V23" s="3">
        <v>9.0</v>
      </c>
      <c r="W23" s="3">
        <v>10.0</v>
      </c>
      <c r="X23" s="3">
        <v>10.0</v>
      </c>
      <c r="Y23" s="3">
        <v>7.0</v>
      </c>
      <c r="Z23" s="3">
        <v>5.0</v>
      </c>
    </row>
    <row r="24" ht="18.75" customHeight="1">
      <c r="A24" s="3" t="s">
        <v>44</v>
      </c>
      <c r="B24" s="4">
        <f>ROUND(redflag_questions_scores!B129,2)</f>
        <v>6.28</v>
      </c>
      <c r="C24" s="3">
        <v>10.0</v>
      </c>
      <c r="D24" s="3">
        <v>9.0</v>
      </c>
      <c r="E24" s="3">
        <v>8.0</v>
      </c>
      <c r="F24" s="3">
        <v>7.0</v>
      </c>
      <c r="G24" s="3">
        <v>8.0</v>
      </c>
      <c r="H24" s="3">
        <v>10.0</v>
      </c>
      <c r="I24" s="3">
        <v>4.0</v>
      </c>
      <c r="J24" s="3">
        <v>3.0</v>
      </c>
      <c r="K24" s="3">
        <v>9.0</v>
      </c>
      <c r="L24" s="3">
        <v>10.0</v>
      </c>
      <c r="M24" s="3">
        <v>7.0</v>
      </c>
      <c r="N24" s="3">
        <v>6.0</v>
      </c>
      <c r="O24" s="3">
        <v>1.0</v>
      </c>
      <c r="P24" s="3">
        <v>3.0</v>
      </c>
      <c r="Q24" s="3">
        <v>1.0</v>
      </c>
      <c r="R24" s="3">
        <v>5.0</v>
      </c>
      <c r="S24" s="3">
        <v>8.0</v>
      </c>
      <c r="T24" s="3">
        <v>7.0</v>
      </c>
      <c r="U24" s="3">
        <v>3.0</v>
      </c>
      <c r="V24" s="3">
        <v>1.0</v>
      </c>
      <c r="W24" s="3">
        <v>10.0</v>
      </c>
      <c r="X24" s="3">
        <v>9.0</v>
      </c>
      <c r="Y24" s="3">
        <v>3.0</v>
      </c>
      <c r="Z24" s="3">
        <v>8.0</v>
      </c>
    </row>
    <row r="25" ht="18.75" customHeight="1">
      <c r="A25" s="3" t="s">
        <v>45</v>
      </c>
      <c r="B25" s="4">
        <f>ROUND(redflag_questions_scores!B130,2)</f>
        <v>5.56</v>
      </c>
      <c r="C25" s="3">
        <v>4.0</v>
      </c>
      <c r="D25" s="3">
        <v>4.0</v>
      </c>
      <c r="E25" s="3">
        <v>5.0</v>
      </c>
      <c r="F25" s="3">
        <v>8.0</v>
      </c>
      <c r="G25" s="3">
        <v>7.0</v>
      </c>
      <c r="H25" s="3">
        <v>10.0</v>
      </c>
      <c r="I25" s="3">
        <v>8.0</v>
      </c>
      <c r="J25" s="3">
        <v>6.0</v>
      </c>
      <c r="K25" s="3">
        <v>2.0</v>
      </c>
      <c r="L25" s="3">
        <v>10.0</v>
      </c>
      <c r="M25" s="3">
        <v>1.0</v>
      </c>
      <c r="N25" s="3">
        <v>6.0</v>
      </c>
      <c r="O25" s="3">
        <v>8.0</v>
      </c>
      <c r="P25" s="3">
        <v>4.0</v>
      </c>
      <c r="Q25" s="3">
        <v>10.0</v>
      </c>
      <c r="R25" s="3">
        <v>7.0</v>
      </c>
      <c r="S25" s="3">
        <v>7.0</v>
      </c>
      <c r="T25" s="3">
        <v>9.0</v>
      </c>
      <c r="U25" s="3">
        <v>7.0</v>
      </c>
      <c r="V25" s="3">
        <v>7.0</v>
      </c>
      <c r="W25" s="3">
        <v>10.0</v>
      </c>
      <c r="X25" s="3">
        <v>8.0</v>
      </c>
      <c r="Y25" s="3">
        <v>4.0</v>
      </c>
      <c r="Z25" s="3">
        <v>3.0</v>
      </c>
    </row>
    <row r="26" ht="18.75" customHeight="1">
      <c r="A26" s="3" t="s">
        <v>46</v>
      </c>
      <c r="B26" s="4">
        <f>ROUND(redflag_questions_scores!B131,2)</f>
        <v>5.73</v>
      </c>
      <c r="C26" s="3">
        <v>8.0</v>
      </c>
      <c r="D26" s="3">
        <v>1.0</v>
      </c>
      <c r="E26" s="3">
        <v>8.0</v>
      </c>
      <c r="F26" s="3">
        <v>7.0</v>
      </c>
      <c r="G26" s="3">
        <v>8.0</v>
      </c>
      <c r="H26" s="3">
        <v>9.0</v>
      </c>
      <c r="I26" s="3">
        <v>9.0</v>
      </c>
      <c r="J26" s="3">
        <v>2.0</v>
      </c>
      <c r="K26" s="3">
        <v>7.0</v>
      </c>
      <c r="L26" s="3">
        <v>10.0</v>
      </c>
      <c r="M26" s="3">
        <v>2.0</v>
      </c>
      <c r="N26" s="3">
        <v>5.0</v>
      </c>
      <c r="O26" s="3">
        <v>7.0</v>
      </c>
      <c r="P26" s="3">
        <v>8.0</v>
      </c>
      <c r="Q26" s="3">
        <v>9.0</v>
      </c>
      <c r="R26" s="3">
        <v>7.0</v>
      </c>
      <c r="S26" s="3">
        <v>8.0</v>
      </c>
      <c r="T26" s="3">
        <v>9.0</v>
      </c>
      <c r="U26" s="3">
        <v>5.0</v>
      </c>
      <c r="V26" s="3">
        <v>7.0</v>
      </c>
      <c r="W26" s="3">
        <v>10.0</v>
      </c>
      <c r="X26" s="3">
        <v>7.0</v>
      </c>
      <c r="Y26" s="3">
        <v>6.0</v>
      </c>
      <c r="Z26" s="3">
        <v>7.0</v>
      </c>
    </row>
    <row r="27" ht="18.75" customHeight="1">
      <c r="A27" s="3" t="s">
        <v>47</v>
      </c>
      <c r="B27" s="4">
        <f>ROUND(redflag_questions_scores!B132,2)</f>
        <v>3.75</v>
      </c>
      <c r="C27" s="3">
        <v>6.0</v>
      </c>
      <c r="D27" s="3">
        <v>5.0</v>
      </c>
      <c r="E27" s="3">
        <v>8.0</v>
      </c>
      <c r="F27" s="3">
        <v>2.0</v>
      </c>
      <c r="G27" s="3">
        <v>5.0</v>
      </c>
      <c r="H27" s="3">
        <v>5.0</v>
      </c>
      <c r="I27" s="3">
        <v>10.0</v>
      </c>
      <c r="J27" s="3">
        <v>8.0</v>
      </c>
      <c r="K27" s="3">
        <v>9.0</v>
      </c>
      <c r="L27" s="3">
        <v>4.0</v>
      </c>
      <c r="M27" s="3">
        <v>7.0</v>
      </c>
      <c r="N27" s="3">
        <v>4.0</v>
      </c>
      <c r="O27" s="3">
        <v>10.0</v>
      </c>
      <c r="P27" s="3">
        <v>2.0</v>
      </c>
      <c r="Q27" s="3">
        <v>3.0</v>
      </c>
      <c r="R27" s="3">
        <v>4.0</v>
      </c>
      <c r="S27" s="3">
        <v>1.0</v>
      </c>
      <c r="T27" s="3">
        <v>5.0</v>
      </c>
      <c r="U27" s="3">
        <v>3.0</v>
      </c>
      <c r="V27" s="3">
        <v>1.0</v>
      </c>
      <c r="W27" s="3">
        <v>6.0</v>
      </c>
      <c r="X27" s="3">
        <v>1.0</v>
      </c>
      <c r="Y27" s="3">
        <v>1.0</v>
      </c>
      <c r="Z27" s="3">
        <v>7.0</v>
      </c>
    </row>
    <row r="28" ht="18.75" customHeight="1">
      <c r="A28" s="3" t="s">
        <v>48</v>
      </c>
      <c r="B28" s="4">
        <f>ROUND(redflag_questions_scores!B133,2)</f>
        <v>6.3</v>
      </c>
      <c r="C28" s="3">
        <v>6.0</v>
      </c>
      <c r="D28" s="3">
        <v>3.0</v>
      </c>
      <c r="E28" s="3">
        <v>10.0</v>
      </c>
      <c r="F28" s="3">
        <v>6.0</v>
      </c>
      <c r="G28" s="3">
        <v>8.0</v>
      </c>
      <c r="H28" s="3">
        <v>10.0</v>
      </c>
      <c r="I28" s="3">
        <v>10.0</v>
      </c>
      <c r="J28" s="3">
        <v>8.0</v>
      </c>
      <c r="K28" s="3">
        <v>10.0</v>
      </c>
      <c r="L28" s="3">
        <v>10.0</v>
      </c>
      <c r="M28" s="3">
        <v>10.0</v>
      </c>
      <c r="N28" s="3">
        <v>5.0</v>
      </c>
      <c r="O28" s="3">
        <v>10.0</v>
      </c>
      <c r="P28" s="3">
        <v>10.0</v>
      </c>
      <c r="Q28" s="3">
        <v>10.0</v>
      </c>
      <c r="R28" s="3">
        <v>8.0</v>
      </c>
      <c r="S28" s="3">
        <v>9.0</v>
      </c>
      <c r="T28" s="3">
        <v>8.0</v>
      </c>
      <c r="U28" s="3">
        <v>8.0</v>
      </c>
      <c r="V28" s="3">
        <v>7.0</v>
      </c>
      <c r="W28" s="3">
        <v>10.0</v>
      </c>
      <c r="X28" s="3">
        <v>7.0</v>
      </c>
      <c r="Y28" s="3">
        <v>1.0</v>
      </c>
      <c r="Z28" s="3">
        <v>5.0</v>
      </c>
    </row>
    <row r="29" ht="18.75" customHeight="1">
      <c r="A29" s="3" t="s">
        <v>49</v>
      </c>
      <c r="B29" s="4">
        <f>ROUND(redflag_questions_scores!B134,2)</f>
        <v>7.16</v>
      </c>
      <c r="C29" s="3">
        <v>9.0</v>
      </c>
      <c r="D29" s="3">
        <v>10.0</v>
      </c>
      <c r="E29" s="3">
        <v>6.0</v>
      </c>
      <c r="F29" s="3">
        <v>8.0</v>
      </c>
      <c r="G29" s="3">
        <v>9.0</v>
      </c>
      <c r="H29" s="3">
        <v>10.0</v>
      </c>
      <c r="I29" s="3">
        <v>10.0</v>
      </c>
      <c r="J29" s="3">
        <v>10.0</v>
      </c>
      <c r="K29" s="3">
        <v>10.0</v>
      </c>
      <c r="L29" s="3">
        <v>10.0</v>
      </c>
      <c r="M29" s="3">
        <v>8.0</v>
      </c>
      <c r="N29" s="3">
        <v>9.0</v>
      </c>
      <c r="O29" s="3">
        <v>10.0</v>
      </c>
      <c r="P29" s="3">
        <v>8.0</v>
      </c>
      <c r="Q29" s="3">
        <v>10.0</v>
      </c>
      <c r="R29" s="3">
        <v>8.0</v>
      </c>
      <c r="S29" s="3">
        <v>9.0</v>
      </c>
      <c r="T29" s="3">
        <v>7.0</v>
      </c>
      <c r="U29" s="3">
        <v>3.0</v>
      </c>
      <c r="V29" s="3">
        <v>8.0</v>
      </c>
      <c r="W29" s="3">
        <v>10.0</v>
      </c>
      <c r="X29" s="3">
        <v>10.0</v>
      </c>
      <c r="Y29" s="3">
        <v>7.0</v>
      </c>
      <c r="Z29" s="3">
        <v>10.0</v>
      </c>
    </row>
    <row r="30" ht="18.75" customHeight="1">
      <c r="A30" s="3" t="s">
        <v>50</v>
      </c>
      <c r="B30" s="4">
        <f>ROUND(redflag_questions_scores!B135,2)</f>
        <v>5.87</v>
      </c>
      <c r="C30" s="3">
        <v>10.0</v>
      </c>
      <c r="D30" s="3">
        <v>8.0</v>
      </c>
      <c r="E30" s="3">
        <v>9.0</v>
      </c>
      <c r="F30" s="3">
        <v>8.0</v>
      </c>
      <c r="G30" s="3">
        <v>8.0</v>
      </c>
      <c r="H30" s="3">
        <v>9.0</v>
      </c>
      <c r="I30" s="3">
        <v>9.0</v>
      </c>
      <c r="J30" s="3">
        <v>5.0</v>
      </c>
      <c r="K30" s="3">
        <v>9.0</v>
      </c>
      <c r="L30" s="3">
        <v>10.0</v>
      </c>
      <c r="M30" s="3">
        <v>6.0</v>
      </c>
      <c r="N30" s="3">
        <v>7.0</v>
      </c>
      <c r="O30" s="3">
        <v>10.0</v>
      </c>
      <c r="P30" s="3">
        <v>6.0</v>
      </c>
      <c r="Q30" s="3">
        <v>10.0</v>
      </c>
      <c r="R30" s="3">
        <v>9.0</v>
      </c>
      <c r="S30" s="3">
        <v>8.0</v>
      </c>
      <c r="T30" s="3">
        <v>7.0</v>
      </c>
      <c r="U30" s="3">
        <v>5.0</v>
      </c>
      <c r="V30" s="3">
        <v>8.0</v>
      </c>
      <c r="W30" s="3">
        <v>9.0</v>
      </c>
      <c r="X30" s="3">
        <v>5.0</v>
      </c>
      <c r="Y30" s="3">
        <v>6.0</v>
      </c>
      <c r="Z30" s="3">
        <v>8.0</v>
      </c>
    </row>
    <row r="31" ht="18.75" customHeight="1">
      <c r="A31" s="3" t="s">
        <v>51</v>
      </c>
      <c r="B31" s="4">
        <f>ROUND(redflag_questions_scores!B136,2)</f>
        <v>5.86</v>
      </c>
      <c r="C31" s="3">
        <v>8.0</v>
      </c>
      <c r="D31" s="3">
        <v>10.0</v>
      </c>
      <c r="E31" s="3">
        <v>10.0</v>
      </c>
      <c r="F31" s="3">
        <v>8.0</v>
      </c>
      <c r="G31" s="3">
        <v>9.0</v>
      </c>
      <c r="H31" s="3">
        <v>10.0</v>
      </c>
      <c r="I31" s="3">
        <v>9.0</v>
      </c>
      <c r="J31" s="3">
        <v>10.0</v>
      </c>
      <c r="K31" s="3">
        <v>9.0</v>
      </c>
      <c r="L31" s="3">
        <v>10.0</v>
      </c>
      <c r="M31" s="3">
        <v>9.0</v>
      </c>
      <c r="N31" s="3">
        <v>9.0</v>
      </c>
      <c r="O31" s="3">
        <v>9.0</v>
      </c>
      <c r="P31" s="3">
        <v>6.0</v>
      </c>
      <c r="Q31" s="3">
        <v>8.0</v>
      </c>
      <c r="R31" s="3">
        <v>7.0</v>
      </c>
      <c r="S31" s="3">
        <v>9.0</v>
      </c>
      <c r="T31" s="3">
        <v>8.0</v>
      </c>
      <c r="U31" s="3">
        <v>6.0</v>
      </c>
      <c r="V31" s="3">
        <v>8.0</v>
      </c>
      <c r="W31" s="3">
        <v>10.0</v>
      </c>
      <c r="X31" s="3">
        <v>6.0</v>
      </c>
      <c r="Y31" s="3">
        <v>8.0</v>
      </c>
      <c r="Z31" s="3">
        <v>8.0</v>
      </c>
    </row>
    <row r="32" ht="18.75" customHeight="1">
      <c r="A32" s="3" t="s">
        <v>52</v>
      </c>
      <c r="B32" s="4">
        <f>ROUND(redflag_questions_scores!B137,2)</f>
        <v>5.96</v>
      </c>
      <c r="C32" s="3">
        <v>9.0</v>
      </c>
      <c r="D32" s="3">
        <v>8.0</v>
      </c>
      <c r="E32" s="3">
        <v>7.0</v>
      </c>
      <c r="F32" s="3">
        <v>5.0</v>
      </c>
      <c r="G32" s="3">
        <v>8.0</v>
      </c>
      <c r="H32" s="3">
        <v>9.0</v>
      </c>
      <c r="I32" s="3">
        <v>9.0</v>
      </c>
      <c r="J32" s="3">
        <v>7.0</v>
      </c>
      <c r="K32" s="3">
        <v>7.0</v>
      </c>
      <c r="L32" s="3">
        <v>5.0</v>
      </c>
      <c r="M32" s="3">
        <v>10.0</v>
      </c>
      <c r="N32" s="3">
        <v>3.0</v>
      </c>
      <c r="O32" s="3">
        <v>3.0</v>
      </c>
      <c r="P32" s="3">
        <v>7.0</v>
      </c>
      <c r="Q32" s="3">
        <v>7.0</v>
      </c>
      <c r="R32" s="3">
        <v>7.0</v>
      </c>
      <c r="S32" s="3">
        <v>7.0</v>
      </c>
      <c r="T32" s="3">
        <v>7.0</v>
      </c>
      <c r="U32" s="3">
        <v>4.0</v>
      </c>
      <c r="V32" s="3">
        <v>5.0</v>
      </c>
      <c r="W32" s="3">
        <v>8.0</v>
      </c>
      <c r="X32" s="3">
        <v>2.0</v>
      </c>
      <c r="Y32" s="3">
        <v>7.0</v>
      </c>
      <c r="Z32" s="3">
        <v>4.0</v>
      </c>
    </row>
    <row r="33" ht="18.75" customHeight="1">
      <c r="A33" s="3" t="s">
        <v>53</v>
      </c>
      <c r="B33" s="4">
        <f>ROUND(redflag_questions_scores!B138,2)</f>
        <v>6</v>
      </c>
      <c r="C33" s="3">
        <v>7.0</v>
      </c>
      <c r="D33" s="3">
        <v>5.0</v>
      </c>
      <c r="E33" s="3">
        <v>6.0</v>
      </c>
      <c r="F33" s="3">
        <v>7.0</v>
      </c>
      <c r="G33" s="3">
        <v>8.0</v>
      </c>
      <c r="H33" s="3">
        <v>7.0</v>
      </c>
      <c r="I33" s="3">
        <v>9.0</v>
      </c>
      <c r="J33" s="3">
        <v>7.0</v>
      </c>
      <c r="K33" s="3">
        <v>9.0</v>
      </c>
      <c r="L33" s="3">
        <v>8.0</v>
      </c>
      <c r="M33" s="3">
        <v>10.0</v>
      </c>
      <c r="N33" s="3">
        <v>7.0</v>
      </c>
      <c r="O33" s="3">
        <v>7.0</v>
      </c>
      <c r="P33" s="3">
        <v>7.0</v>
      </c>
      <c r="Q33" s="3">
        <v>9.0</v>
      </c>
      <c r="R33" s="3">
        <v>9.0</v>
      </c>
      <c r="S33" s="3">
        <v>6.0</v>
      </c>
      <c r="T33" s="3">
        <v>8.0</v>
      </c>
      <c r="U33" s="3">
        <v>3.0</v>
      </c>
      <c r="V33" s="3">
        <v>9.0</v>
      </c>
      <c r="W33" s="3">
        <v>9.0</v>
      </c>
      <c r="X33" s="3">
        <v>9.0</v>
      </c>
      <c r="Y33" s="3">
        <v>7.0</v>
      </c>
      <c r="Z33" s="3">
        <v>5.0</v>
      </c>
    </row>
    <row r="34" ht="18.75" customHeight="1">
      <c r="A34" s="3" t="s">
        <v>54</v>
      </c>
      <c r="B34" s="4">
        <f>ROUND(redflag_questions_scores!B139,2)</f>
        <v>5.5</v>
      </c>
      <c r="C34" s="3">
        <v>4.0</v>
      </c>
      <c r="D34" s="3">
        <v>1.0</v>
      </c>
      <c r="E34" s="3">
        <v>5.0</v>
      </c>
      <c r="F34" s="3">
        <v>7.0</v>
      </c>
      <c r="G34" s="3">
        <v>8.0</v>
      </c>
      <c r="H34" s="3">
        <v>8.0</v>
      </c>
      <c r="I34" s="3">
        <v>7.0</v>
      </c>
      <c r="J34" s="3">
        <v>3.0</v>
      </c>
      <c r="K34" s="3">
        <v>3.0</v>
      </c>
      <c r="L34" s="3">
        <v>9.0</v>
      </c>
      <c r="M34" s="3">
        <v>6.0</v>
      </c>
      <c r="N34" s="3">
        <v>8.0</v>
      </c>
      <c r="O34" s="3">
        <v>8.0</v>
      </c>
      <c r="P34" s="3">
        <v>9.0</v>
      </c>
      <c r="Q34" s="3">
        <v>2.0</v>
      </c>
      <c r="R34" s="3">
        <v>9.0</v>
      </c>
      <c r="S34" s="3">
        <v>3.0</v>
      </c>
      <c r="T34" s="3">
        <v>3.0</v>
      </c>
      <c r="U34" s="3">
        <v>4.0</v>
      </c>
      <c r="V34" s="3">
        <v>8.0</v>
      </c>
      <c r="W34" s="3">
        <v>6.0</v>
      </c>
      <c r="X34" s="3">
        <v>2.0</v>
      </c>
      <c r="Y34" s="3">
        <v>8.0</v>
      </c>
      <c r="Z34" s="3">
        <v>5.0</v>
      </c>
    </row>
    <row r="35" ht="18.75" customHeight="1">
      <c r="A35" s="3" t="s">
        <v>55</v>
      </c>
      <c r="B35" s="4">
        <f>ROUND(redflag_questions_scores!B140,2)</f>
        <v>5.92</v>
      </c>
      <c r="C35" s="3">
        <v>9.0</v>
      </c>
      <c r="D35" s="3">
        <v>10.0</v>
      </c>
      <c r="E35" s="3">
        <v>9.0</v>
      </c>
      <c r="F35" s="3">
        <v>9.0</v>
      </c>
      <c r="G35" s="3">
        <v>9.0</v>
      </c>
      <c r="H35" s="3">
        <v>10.0</v>
      </c>
      <c r="I35" s="3">
        <v>10.0</v>
      </c>
      <c r="J35" s="3">
        <v>6.0</v>
      </c>
      <c r="K35" s="3">
        <v>9.0</v>
      </c>
      <c r="L35" s="3">
        <v>10.0</v>
      </c>
      <c r="M35" s="3">
        <v>10.0</v>
      </c>
      <c r="N35" s="3">
        <v>8.0</v>
      </c>
      <c r="O35" s="3">
        <v>9.0</v>
      </c>
      <c r="P35" s="3">
        <v>8.0</v>
      </c>
      <c r="Q35" s="3">
        <v>10.0</v>
      </c>
      <c r="R35" s="3">
        <v>10.0</v>
      </c>
      <c r="S35" s="3">
        <v>7.0</v>
      </c>
      <c r="T35" s="3">
        <v>9.0</v>
      </c>
      <c r="U35" s="3">
        <v>6.0</v>
      </c>
      <c r="V35" s="3">
        <v>10.0</v>
      </c>
      <c r="W35" s="3">
        <v>10.0</v>
      </c>
      <c r="X35" s="3">
        <v>10.0</v>
      </c>
      <c r="Y35" s="3">
        <v>7.0</v>
      </c>
      <c r="Z35" s="3">
        <v>9.0</v>
      </c>
    </row>
    <row r="36" ht="18.75" customHeight="1">
      <c r="A36" s="3" t="s">
        <v>56</v>
      </c>
      <c r="B36" s="4">
        <f>ROUND(redflag_questions_scores!B141,2)</f>
        <v>4.58</v>
      </c>
      <c r="C36" s="3">
        <v>10.0</v>
      </c>
      <c r="D36" s="3">
        <v>10.0</v>
      </c>
      <c r="E36" s="3">
        <v>5.0</v>
      </c>
      <c r="F36" s="3">
        <v>5.0</v>
      </c>
      <c r="G36" s="3">
        <v>6.0</v>
      </c>
      <c r="H36" s="3">
        <v>7.0</v>
      </c>
      <c r="I36" s="3">
        <v>7.0</v>
      </c>
      <c r="J36" s="3">
        <v>6.0</v>
      </c>
      <c r="K36" s="3">
        <v>5.0</v>
      </c>
      <c r="L36" s="3">
        <v>7.0</v>
      </c>
      <c r="M36" s="3">
        <v>3.0</v>
      </c>
      <c r="N36" s="3">
        <v>7.0</v>
      </c>
      <c r="O36" s="3">
        <v>9.0</v>
      </c>
      <c r="P36" s="3">
        <v>3.0</v>
      </c>
      <c r="Q36" s="3">
        <v>10.0</v>
      </c>
      <c r="R36" s="3">
        <v>7.0</v>
      </c>
      <c r="S36" s="3">
        <v>4.0</v>
      </c>
      <c r="T36" s="3">
        <v>5.0</v>
      </c>
      <c r="U36" s="3">
        <v>3.0</v>
      </c>
      <c r="V36" s="3">
        <v>4.0</v>
      </c>
      <c r="W36" s="3">
        <v>4.0</v>
      </c>
      <c r="X36" s="3">
        <v>1.0</v>
      </c>
      <c r="Y36" s="3">
        <v>4.0</v>
      </c>
      <c r="Z36" s="3">
        <v>2.0</v>
      </c>
    </row>
    <row r="37" ht="18.75" customHeight="1">
      <c r="A37" s="3" t="s">
        <v>57</v>
      </c>
      <c r="B37" s="4">
        <f>ROUND(redflag_questions_scores!B142,2)</f>
        <v>5.41</v>
      </c>
      <c r="C37" s="3">
        <v>9.0</v>
      </c>
      <c r="D37" s="3">
        <v>2.0</v>
      </c>
      <c r="E37" s="3">
        <v>9.0</v>
      </c>
      <c r="F37" s="3">
        <v>7.0</v>
      </c>
      <c r="G37" s="3">
        <v>10.0</v>
      </c>
      <c r="H37" s="3">
        <v>8.0</v>
      </c>
      <c r="I37" s="3">
        <v>10.0</v>
      </c>
      <c r="J37" s="3">
        <v>8.0</v>
      </c>
      <c r="K37" s="3">
        <v>9.0</v>
      </c>
      <c r="L37" s="3">
        <v>10.0</v>
      </c>
      <c r="M37" s="3">
        <v>5.0</v>
      </c>
      <c r="N37" s="3">
        <v>10.0</v>
      </c>
      <c r="O37" s="3">
        <v>9.0</v>
      </c>
      <c r="P37" s="3">
        <v>7.0</v>
      </c>
      <c r="Q37" s="3">
        <v>9.0</v>
      </c>
      <c r="R37" s="3">
        <v>10.0</v>
      </c>
      <c r="S37" s="3">
        <v>7.0</v>
      </c>
      <c r="T37" s="3">
        <v>8.0</v>
      </c>
      <c r="U37" s="3">
        <v>5.0</v>
      </c>
      <c r="V37" s="3">
        <v>10.0</v>
      </c>
      <c r="W37" s="3">
        <v>9.0</v>
      </c>
      <c r="X37" s="3">
        <v>9.0</v>
      </c>
      <c r="Y37" s="3">
        <v>6.0</v>
      </c>
      <c r="Z37" s="3">
        <v>8.0</v>
      </c>
    </row>
    <row r="38" ht="18.75" customHeight="1">
      <c r="A38" s="3" t="s">
        <v>58</v>
      </c>
      <c r="B38" s="4">
        <f>ROUND(redflag_questions_scores!B143,2)</f>
        <v>5.6</v>
      </c>
      <c r="C38" s="3">
        <v>8.0</v>
      </c>
      <c r="D38" s="3">
        <v>10.0</v>
      </c>
      <c r="E38" s="3">
        <v>10.0</v>
      </c>
      <c r="F38" s="3">
        <v>7.0</v>
      </c>
      <c r="G38" s="3">
        <v>7.0</v>
      </c>
      <c r="H38" s="3">
        <v>9.0</v>
      </c>
      <c r="I38" s="3">
        <v>9.0</v>
      </c>
      <c r="J38" s="3">
        <v>9.0</v>
      </c>
      <c r="K38" s="3">
        <v>9.0</v>
      </c>
      <c r="L38" s="3">
        <v>10.0</v>
      </c>
      <c r="M38" s="3">
        <v>9.0</v>
      </c>
      <c r="N38" s="3">
        <v>7.0</v>
      </c>
      <c r="O38" s="3">
        <v>8.0</v>
      </c>
      <c r="P38" s="3">
        <v>5.0</v>
      </c>
      <c r="Q38" s="3">
        <v>9.0</v>
      </c>
      <c r="R38" s="3">
        <v>7.0</v>
      </c>
      <c r="S38" s="3">
        <v>7.0</v>
      </c>
      <c r="T38" s="3">
        <v>8.0</v>
      </c>
      <c r="U38" s="3">
        <v>4.0</v>
      </c>
      <c r="V38" s="3">
        <v>7.0</v>
      </c>
      <c r="W38" s="3">
        <v>7.0</v>
      </c>
      <c r="X38" s="3">
        <v>10.0</v>
      </c>
      <c r="Y38" s="3">
        <v>8.0</v>
      </c>
      <c r="Z38" s="3">
        <v>8.0</v>
      </c>
    </row>
    <row r="39" ht="18.75" customHeight="1">
      <c r="A39" s="3" t="s">
        <v>59</v>
      </c>
      <c r="B39" s="4">
        <f>ROUND(redflag_questions_scores!B144,2)</f>
        <v>6.45</v>
      </c>
      <c r="C39" s="3">
        <v>10.0</v>
      </c>
      <c r="D39" s="3">
        <v>10.0</v>
      </c>
      <c r="E39" s="3">
        <v>10.0</v>
      </c>
      <c r="F39" s="3">
        <v>8.0</v>
      </c>
      <c r="G39" s="3">
        <v>10.0</v>
      </c>
      <c r="H39" s="3">
        <v>9.0</v>
      </c>
      <c r="I39" s="3">
        <v>8.0</v>
      </c>
      <c r="J39" s="3">
        <v>6.0</v>
      </c>
      <c r="K39" s="3">
        <v>10.0</v>
      </c>
      <c r="L39" s="3">
        <v>10.0</v>
      </c>
      <c r="M39" s="3">
        <v>10.0</v>
      </c>
      <c r="N39" s="3">
        <v>9.0</v>
      </c>
      <c r="O39" s="3">
        <v>10.0</v>
      </c>
      <c r="P39" s="3">
        <v>3.0</v>
      </c>
      <c r="Q39" s="3">
        <v>10.0</v>
      </c>
      <c r="R39" s="3">
        <v>8.0</v>
      </c>
      <c r="S39" s="3">
        <v>4.0</v>
      </c>
      <c r="T39" s="3">
        <v>9.0</v>
      </c>
      <c r="U39" s="3">
        <v>3.0</v>
      </c>
      <c r="V39" s="3">
        <v>6.0</v>
      </c>
      <c r="W39" s="3">
        <v>10.0</v>
      </c>
      <c r="X39" s="3">
        <v>7.0</v>
      </c>
      <c r="Y39" s="3">
        <v>7.0</v>
      </c>
      <c r="Z39" s="3">
        <v>10.0</v>
      </c>
    </row>
    <row r="40" ht="18.75" customHeight="1">
      <c r="A40" s="3" t="s">
        <v>60</v>
      </c>
      <c r="B40" s="4">
        <f>ROUND(redflag_questions_scores!B145,2)</f>
        <v>5.83</v>
      </c>
      <c r="C40" s="3">
        <v>10.0</v>
      </c>
      <c r="D40" s="3">
        <v>9.0</v>
      </c>
      <c r="E40" s="3">
        <v>6.0</v>
      </c>
      <c r="F40" s="3">
        <v>5.0</v>
      </c>
      <c r="G40" s="3">
        <v>8.0</v>
      </c>
      <c r="H40" s="3">
        <v>9.0</v>
      </c>
      <c r="I40" s="3">
        <v>8.0</v>
      </c>
      <c r="J40" s="3">
        <v>10.0</v>
      </c>
      <c r="K40" s="3">
        <v>8.0</v>
      </c>
      <c r="L40" s="3">
        <v>8.0</v>
      </c>
      <c r="M40" s="3">
        <v>10.0</v>
      </c>
      <c r="N40" s="3">
        <v>7.0</v>
      </c>
      <c r="O40" s="3">
        <v>8.0</v>
      </c>
      <c r="P40" s="3">
        <v>6.0</v>
      </c>
      <c r="Q40" s="3">
        <v>7.0</v>
      </c>
      <c r="R40" s="3">
        <v>10.0</v>
      </c>
      <c r="S40" s="3">
        <v>7.0</v>
      </c>
      <c r="T40" s="3">
        <v>8.0</v>
      </c>
      <c r="U40" s="3">
        <v>4.0</v>
      </c>
      <c r="V40" s="3">
        <v>9.0</v>
      </c>
      <c r="W40" s="3">
        <v>7.0</v>
      </c>
      <c r="X40" s="3">
        <v>4.0</v>
      </c>
      <c r="Y40" s="3">
        <v>6.0</v>
      </c>
      <c r="Z40" s="3">
        <v>3.0</v>
      </c>
    </row>
    <row r="41" ht="18.75" customHeight="1">
      <c r="A41" s="3" t="s">
        <v>61</v>
      </c>
      <c r="B41" s="4">
        <f>ROUND(redflag_questions_scores!B146,2)</f>
        <v>5.51</v>
      </c>
      <c r="C41" s="3">
        <v>8.0</v>
      </c>
      <c r="D41" s="3">
        <v>10.0</v>
      </c>
      <c r="E41" s="3">
        <v>10.0</v>
      </c>
      <c r="F41" s="3">
        <v>9.0</v>
      </c>
      <c r="G41" s="3">
        <v>8.0</v>
      </c>
      <c r="H41" s="3">
        <v>9.0</v>
      </c>
      <c r="I41" s="3">
        <v>9.0</v>
      </c>
      <c r="J41" s="3">
        <v>9.0</v>
      </c>
      <c r="K41" s="3">
        <v>9.0</v>
      </c>
      <c r="L41" s="3">
        <v>10.0</v>
      </c>
      <c r="M41" s="3">
        <v>7.0</v>
      </c>
      <c r="N41" s="3">
        <v>8.0</v>
      </c>
      <c r="O41" s="3">
        <v>9.0</v>
      </c>
      <c r="P41" s="3">
        <v>8.0</v>
      </c>
      <c r="Q41" s="3">
        <v>8.0</v>
      </c>
      <c r="R41" s="3">
        <v>10.0</v>
      </c>
      <c r="S41" s="3">
        <v>7.0</v>
      </c>
      <c r="T41" s="3">
        <v>8.0</v>
      </c>
      <c r="U41" s="3">
        <v>5.0</v>
      </c>
      <c r="V41" s="3">
        <v>9.0</v>
      </c>
      <c r="W41" s="3">
        <v>9.0</v>
      </c>
      <c r="X41" s="3">
        <v>6.0</v>
      </c>
      <c r="Y41" s="3">
        <v>8.0</v>
      </c>
      <c r="Z41" s="3">
        <v>5.0</v>
      </c>
    </row>
    <row r="42" ht="18.75" customHeight="1">
      <c r="A42" s="3" t="s">
        <v>62</v>
      </c>
      <c r="B42" s="4">
        <f>ROUND(redflag_questions_scores!B147,2)</f>
        <v>7.25</v>
      </c>
      <c r="C42" s="3">
        <v>9.0</v>
      </c>
      <c r="D42" s="3">
        <v>10.0</v>
      </c>
      <c r="E42" s="3">
        <v>10.0</v>
      </c>
      <c r="F42" s="3">
        <v>8.0</v>
      </c>
      <c r="G42" s="3">
        <v>9.0</v>
      </c>
      <c r="H42" s="3">
        <v>9.0</v>
      </c>
      <c r="I42" s="3">
        <v>10.0</v>
      </c>
      <c r="J42" s="3">
        <v>10.0</v>
      </c>
      <c r="K42" s="3">
        <v>10.0</v>
      </c>
      <c r="L42" s="3">
        <v>10.0</v>
      </c>
      <c r="M42" s="3">
        <v>8.0</v>
      </c>
      <c r="N42" s="3">
        <v>8.0</v>
      </c>
      <c r="O42" s="3">
        <v>10.0</v>
      </c>
      <c r="P42" s="3">
        <v>1.0</v>
      </c>
      <c r="Q42" s="3">
        <v>10.0</v>
      </c>
      <c r="R42" s="3">
        <v>7.0</v>
      </c>
      <c r="S42" s="3">
        <v>9.0</v>
      </c>
      <c r="T42" s="3">
        <v>8.0</v>
      </c>
      <c r="U42" s="3">
        <v>8.0</v>
      </c>
      <c r="V42" s="3">
        <v>8.0</v>
      </c>
      <c r="W42" s="3">
        <v>10.0</v>
      </c>
      <c r="X42" s="3">
        <v>5.0</v>
      </c>
      <c r="Y42" s="3">
        <v>2.0</v>
      </c>
      <c r="Z42" s="3">
        <v>10.0</v>
      </c>
    </row>
    <row r="43" ht="18.75" customHeight="1">
      <c r="A43" s="3" t="s">
        <v>63</v>
      </c>
      <c r="B43" s="4">
        <f>ROUND(redflag_questions_scores!B148,2)</f>
        <v>5.12</v>
      </c>
      <c r="C43" s="3">
        <v>7.0</v>
      </c>
      <c r="D43" s="3">
        <v>10.0</v>
      </c>
      <c r="E43" s="3">
        <v>8.0</v>
      </c>
      <c r="F43" s="3">
        <v>9.0</v>
      </c>
      <c r="G43" s="3">
        <v>8.0</v>
      </c>
      <c r="H43" s="3">
        <v>6.0</v>
      </c>
      <c r="I43" s="3">
        <v>7.0</v>
      </c>
      <c r="J43" s="3">
        <v>9.0</v>
      </c>
      <c r="K43" s="3">
        <v>9.0</v>
      </c>
      <c r="L43" s="3">
        <v>8.0</v>
      </c>
      <c r="M43" s="3">
        <v>10.0</v>
      </c>
      <c r="N43" s="3">
        <v>9.0</v>
      </c>
      <c r="O43" s="3">
        <v>7.0</v>
      </c>
      <c r="P43" s="3">
        <v>1.0</v>
      </c>
      <c r="Q43" s="3">
        <v>10.0</v>
      </c>
      <c r="R43" s="3">
        <v>7.0</v>
      </c>
      <c r="S43" s="3">
        <v>9.0</v>
      </c>
      <c r="T43" s="3">
        <v>8.0</v>
      </c>
      <c r="U43" s="3">
        <v>3.0</v>
      </c>
      <c r="V43" s="3">
        <v>1.0</v>
      </c>
      <c r="W43" s="3">
        <v>5.0</v>
      </c>
      <c r="X43" s="3">
        <v>1.0</v>
      </c>
      <c r="Y43" s="3">
        <v>1.0</v>
      </c>
      <c r="Z43" s="3">
        <v>3.0</v>
      </c>
    </row>
    <row r="44" ht="18.75" customHeight="1">
      <c r="A44" s="3" t="s">
        <v>64</v>
      </c>
      <c r="B44" s="4">
        <f>ROUND(redflag_questions_scores!B149,2)</f>
        <v>4.39</v>
      </c>
      <c r="C44" s="3">
        <v>7.0</v>
      </c>
      <c r="D44" s="3">
        <v>5.0</v>
      </c>
      <c r="E44" s="3">
        <v>4.0</v>
      </c>
      <c r="F44" s="3">
        <v>2.0</v>
      </c>
      <c r="G44" s="3">
        <v>9.0</v>
      </c>
      <c r="H44" s="3">
        <v>9.0</v>
      </c>
      <c r="I44" s="3">
        <v>4.0</v>
      </c>
      <c r="J44" s="3">
        <v>3.0</v>
      </c>
      <c r="K44" s="3">
        <v>5.0</v>
      </c>
      <c r="L44" s="3">
        <v>4.0</v>
      </c>
      <c r="M44" s="3">
        <v>5.0</v>
      </c>
      <c r="N44" s="3">
        <v>7.0</v>
      </c>
      <c r="O44" s="3">
        <v>1.0</v>
      </c>
      <c r="P44" s="3">
        <v>3.0</v>
      </c>
      <c r="Q44" s="3">
        <v>3.0</v>
      </c>
      <c r="R44" s="3">
        <v>6.0</v>
      </c>
      <c r="S44" s="3">
        <v>5.0</v>
      </c>
      <c r="T44" s="3">
        <v>8.0</v>
      </c>
      <c r="U44" s="3">
        <v>3.0</v>
      </c>
      <c r="V44" s="3">
        <v>1.0</v>
      </c>
      <c r="W44" s="3">
        <v>4.0</v>
      </c>
      <c r="X44" s="3">
        <v>3.0</v>
      </c>
      <c r="Y44" s="3">
        <v>1.0</v>
      </c>
      <c r="Z44" s="3">
        <v>8.0</v>
      </c>
    </row>
    <row r="45" ht="18.75" customHeight="1">
      <c r="A45" s="3" t="s">
        <v>65</v>
      </c>
      <c r="B45" s="4">
        <f>ROUND(redflag_questions_scores!B150,2)</f>
        <v>5.52</v>
      </c>
      <c r="C45" s="3">
        <v>9.0</v>
      </c>
      <c r="D45" s="3">
        <v>7.0</v>
      </c>
      <c r="E45" s="3">
        <v>10.0</v>
      </c>
      <c r="F45" s="3">
        <v>5.0</v>
      </c>
      <c r="G45" s="3">
        <v>8.0</v>
      </c>
      <c r="H45" s="3">
        <v>6.0</v>
      </c>
      <c r="I45" s="3">
        <v>7.0</v>
      </c>
      <c r="J45" s="3">
        <v>7.0</v>
      </c>
      <c r="K45" s="3">
        <v>7.0</v>
      </c>
      <c r="L45" s="3">
        <v>7.0</v>
      </c>
      <c r="M45" s="3">
        <v>7.0</v>
      </c>
      <c r="N45" s="3">
        <v>5.0</v>
      </c>
      <c r="O45" s="3">
        <v>8.0</v>
      </c>
      <c r="P45" s="3">
        <v>7.0</v>
      </c>
      <c r="Q45" s="3">
        <v>8.0</v>
      </c>
      <c r="R45" s="3">
        <v>9.0</v>
      </c>
      <c r="S45" s="3">
        <v>7.0</v>
      </c>
      <c r="T45" s="3">
        <v>7.0</v>
      </c>
      <c r="U45" s="3">
        <v>3.0</v>
      </c>
      <c r="V45" s="3">
        <v>8.0</v>
      </c>
      <c r="W45" s="3">
        <v>7.0</v>
      </c>
      <c r="X45" s="3">
        <v>3.0</v>
      </c>
      <c r="Y45" s="3">
        <v>8.0</v>
      </c>
      <c r="Z45" s="3">
        <v>7.0</v>
      </c>
    </row>
    <row r="46" ht="18.75" customHeight="1">
      <c r="A46" s="3" t="s">
        <v>66</v>
      </c>
      <c r="B46" s="4">
        <f>ROUND(redflag_questions_scores!B151,2)</f>
        <v>6.07</v>
      </c>
      <c r="C46" s="3">
        <v>7.0</v>
      </c>
      <c r="D46" s="3">
        <v>10.0</v>
      </c>
      <c r="E46" s="3">
        <v>7.0</v>
      </c>
      <c r="F46" s="3">
        <v>3.0</v>
      </c>
      <c r="G46" s="3">
        <v>8.0</v>
      </c>
      <c r="H46" s="3">
        <v>8.0</v>
      </c>
      <c r="I46" s="3">
        <v>8.0</v>
      </c>
      <c r="J46" s="3">
        <v>9.0</v>
      </c>
      <c r="K46" s="3">
        <v>6.0</v>
      </c>
      <c r="L46" s="3">
        <v>10.0</v>
      </c>
      <c r="M46" s="3">
        <v>5.0</v>
      </c>
      <c r="N46" s="3">
        <v>8.0</v>
      </c>
      <c r="O46" s="3">
        <v>8.0</v>
      </c>
      <c r="P46" s="3">
        <v>8.0</v>
      </c>
      <c r="Q46" s="3">
        <v>5.0</v>
      </c>
      <c r="R46" s="3">
        <v>8.0</v>
      </c>
      <c r="S46" s="3">
        <v>7.0</v>
      </c>
      <c r="T46" s="3">
        <v>7.0</v>
      </c>
      <c r="U46" s="3">
        <v>7.0</v>
      </c>
      <c r="V46" s="3">
        <v>6.0</v>
      </c>
      <c r="W46" s="3">
        <v>7.0</v>
      </c>
      <c r="X46" s="3">
        <v>8.0</v>
      </c>
      <c r="Y46" s="3">
        <v>2.0</v>
      </c>
      <c r="Z46" s="3">
        <v>5.0</v>
      </c>
    </row>
    <row r="47" ht="18.75" customHeight="1">
      <c r="A47" s="3" t="s">
        <v>67</v>
      </c>
      <c r="B47" s="4">
        <f>ROUND(redflag_questions_scores!B152,2)</f>
        <v>4.7</v>
      </c>
      <c r="C47" s="3">
        <v>6.0</v>
      </c>
      <c r="D47" s="3">
        <v>4.0</v>
      </c>
      <c r="E47" s="3">
        <v>8.0</v>
      </c>
      <c r="F47" s="3">
        <v>2.0</v>
      </c>
      <c r="G47" s="3">
        <v>7.0</v>
      </c>
      <c r="H47" s="3">
        <v>9.0</v>
      </c>
      <c r="I47" s="3">
        <v>4.0</v>
      </c>
      <c r="J47" s="3">
        <v>4.0</v>
      </c>
      <c r="K47" s="3">
        <v>8.0</v>
      </c>
      <c r="L47" s="3">
        <v>8.0</v>
      </c>
      <c r="M47" s="3">
        <v>5.0</v>
      </c>
      <c r="N47" s="3">
        <v>5.0</v>
      </c>
      <c r="O47" s="3">
        <v>7.0</v>
      </c>
      <c r="P47" s="3">
        <v>3.0</v>
      </c>
      <c r="Q47" s="3">
        <v>5.0</v>
      </c>
      <c r="R47" s="3">
        <v>7.0</v>
      </c>
      <c r="S47" s="3">
        <v>8.0</v>
      </c>
      <c r="T47" s="3">
        <v>7.0</v>
      </c>
      <c r="U47" s="3">
        <v>7.0</v>
      </c>
      <c r="V47" s="3">
        <v>4.0</v>
      </c>
      <c r="W47" s="3">
        <v>9.0</v>
      </c>
      <c r="X47" s="3">
        <v>2.0</v>
      </c>
      <c r="Y47" s="3">
        <v>4.0</v>
      </c>
      <c r="Z47" s="3">
        <v>9.0</v>
      </c>
    </row>
    <row r="48" ht="18.75" customHeight="1">
      <c r="A48" s="3" t="s">
        <v>68</v>
      </c>
      <c r="B48" s="4">
        <f>ROUND(redflag_questions_scores!B153,2)</f>
        <v>4.71</v>
      </c>
      <c r="C48" s="3">
        <v>10.0</v>
      </c>
      <c r="D48" s="3">
        <v>9.0</v>
      </c>
      <c r="E48" s="3">
        <v>5.0</v>
      </c>
      <c r="F48" s="3">
        <v>2.0</v>
      </c>
      <c r="G48" s="3">
        <v>7.0</v>
      </c>
      <c r="H48" s="3">
        <v>8.0</v>
      </c>
      <c r="I48" s="3">
        <v>6.0</v>
      </c>
      <c r="J48" s="3">
        <v>3.0</v>
      </c>
      <c r="K48" s="3">
        <v>5.0</v>
      </c>
      <c r="L48" s="3">
        <v>10.0</v>
      </c>
      <c r="M48" s="3">
        <v>5.0</v>
      </c>
      <c r="N48" s="3">
        <v>3.0</v>
      </c>
      <c r="O48" s="3">
        <v>7.0</v>
      </c>
      <c r="P48" s="3">
        <v>4.0</v>
      </c>
      <c r="Q48" s="3">
        <v>2.0</v>
      </c>
      <c r="R48" s="3">
        <v>8.0</v>
      </c>
      <c r="S48" s="3">
        <v>1.0</v>
      </c>
      <c r="T48" s="3">
        <v>5.0</v>
      </c>
      <c r="U48" s="3">
        <v>3.0</v>
      </c>
      <c r="V48" s="3">
        <v>2.0</v>
      </c>
      <c r="W48" s="3">
        <v>3.0</v>
      </c>
      <c r="X48" s="3">
        <v>7.0</v>
      </c>
      <c r="Y48" s="3">
        <v>4.0</v>
      </c>
      <c r="Z48" s="3">
        <v>6.0</v>
      </c>
    </row>
    <row r="49" ht="18.75" customHeight="1">
      <c r="A49" s="3" t="s">
        <v>69</v>
      </c>
      <c r="B49" s="4">
        <f>ROUND(redflag_questions_scores!B154,2)</f>
        <v>5.91</v>
      </c>
      <c r="C49" s="3">
        <v>8.0</v>
      </c>
      <c r="D49" s="3">
        <v>10.0</v>
      </c>
      <c r="E49" s="3">
        <v>10.0</v>
      </c>
      <c r="F49" s="3">
        <v>3.0</v>
      </c>
      <c r="G49" s="3">
        <v>8.0</v>
      </c>
      <c r="H49" s="3">
        <v>9.0</v>
      </c>
      <c r="I49" s="3">
        <v>10.0</v>
      </c>
      <c r="J49" s="3">
        <v>3.0</v>
      </c>
      <c r="K49" s="3">
        <v>7.0</v>
      </c>
      <c r="L49" s="3">
        <v>10.0</v>
      </c>
      <c r="M49" s="3">
        <v>5.0</v>
      </c>
      <c r="N49" s="3">
        <v>8.0</v>
      </c>
      <c r="O49" s="3">
        <v>5.0</v>
      </c>
      <c r="P49" s="3">
        <v>6.0</v>
      </c>
      <c r="Q49" s="3">
        <v>9.0</v>
      </c>
      <c r="R49" s="3">
        <v>8.0</v>
      </c>
      <c r="S49" s="3">
        <v>3.0</v>
      </c>
      <c r="T49" s="3">
        <v>8.0</v>
      </c>
      <c r="U49" s="3">
        <v>8.0</v>
      </c>
      <c r="V49" s="3">
        <v>5.0</v>
      </c>
      <c r="W49" s="3">
        <v>9.0</v>
      </c>
      <c r="X49" s="3">
        <v>9.0</v>
      </c>
      <c r="Y49" s="3">
        <v>2.0</v>
      </c>
      <c r="Z49" s="3">
        <v>9.0</v>
      </c>
    </row>
    <row r="50" ht="18.75" customHeight="1">
      <c r="A50" s="3" t="s">
        <v>70</v>
      </c>
      <c r="B50" s="4">
        <f>ROUND(redflag_questions_scores!B155,2)</f>
        <v>5.4</v>
      </c>
      <c r="C50" s="3">
        <v>8.0</v>
      </c>
      <c r="D50" s="3">
        <v>1.0</v>
      </c>
      <c r="E50" s="3">
        <v>3.0</v>
      </c>
      <c r="F50" s="3">
        <v>2.0</v>
      </c>
      <c r="G50" s="3">
        <v>6.0</v>
      </c>
      <c r="H50" s="3">
        <v>5.0</v>
      </c>
      <c r="I50" s="3">
        <v>3.0</v>
      </c>
      <c r="J50" s="3">
        <v>5.0</v>
      </c>
      <c r="K50" s="3">
        <v>1.0</v>
      </c>
      <c r="L50" s="3">
        <v>5.0</v>
      </c>
      <c r="M50" s="3">
        <v>5.0</v>
      </c>
      <c r="N50" s="3">
        <v>5.0</v>
      </c>
      <c r="O50" s="3">
        <v>5.0</v>
      </c>
      <c r="P50" s="3">
        <v>1.0</v>
      </c>
      <c r="Q50" s="3">
        <v>2.0</v>
      </c>
      <c r="R50" s="3">
        <v>6.0</v>
      </c>
      <c r="S50" s="3">
        <v>1.0</v>
      </c>
      <c r="T50" s="3">
        <v>5.0</v>
      </c>
      <c r="U50" s="3">
        <v>4.0</v>
      </c>
      <c r="V50" s="3">
        <v>2.0</v>
      </c>
      <c r="W50" s="3">
        <v>6.0</v>
      </c>
      <c r="X50" s="3">
        <v>2.0</v>
      </c>
      <c r="Y50" s="3">
        <v>2.0</v>
      </c>
      <c r="Z50" s="3">
        <v>5.0</v>
      </c>
    </row>
    <row r="51" ht="18.75" customHeight="1">
      <c r="A51" s="3" t="s">
        <v>71</v>
      </c>
      <c r="B51" s="4">
        <f>ROUND(redflag_questions_scores!B156,2)</f>
        <v>4.25</v>
      </c>
      <c r="C51" s="3">
        <v>4.0</v>
      </c>
      <c r="D51" s="3">
        <v>5.0</v>
      </c>
      <c r="E51" s="3">
        <v>7.0</v>
      </c>
      <c r="F51" s="3">
        <v>2.0</v>
      </c>
      <c r="G51" s="3">
        <v>5.0</v>
      </c>
      <c r="H51" s="3">
        <v>7.0</v>
      </c>
      <c r="I51" s="3">
        <v>6.0</v>
      </c>
      <c r="J51" s="3">
        <v>5.0</v>
      </c>
      <c r="K51" s="3">
        <v>1.0</v>
      </c>
      <c r="L51" s="3">
        <v>6.0</v>
      </c>
      <c r="M51" s="3">
        <v>4.0</v>
      </c>
      <c r="N51" s="3">
        <v>3.0</v>
      </c>
      <c r="O51" s="3">
        <v>5.0</v>
      </c>
      <c r="P51" s="3">
        <v>1.0</v>
      </c>
      <c r="Q51" s="3">
        <v>3.0</v>
      </c>
      <c r="R51" s="3">
        <v>8.0</v>
      </c>
      <c r="S51" s="3">
        <v>1.0</v>
      </c>
      <c r="T51" s="3">
        <v>5.0</v>
      </c>
      <c r="U51" s="3">
        <v>6.0</v>
      </c>
      <c r="V51" s="3">
        <v>2.0</v>
      </c>
      <c r="W51" s="3">
        <v>6.0</v>
      </c>
      <c r="X51" s="3">
        <v>7.0</v>
      </c>
      <c r="Y51" s="3">
        <v>4.0</v>
      </c>
      <c r="Z51" s="3">
        <v>2.0</v>
      </c>
    </row>
    <row r="52" ht="18.75" customHeight="1">
      <c r="A52" s="3" t="s">
        <v>72</v>
      </c>
      <c r="B52" s="4">
        <f>ROUND(redflag_questions_scores!B157,2)</f>
        <v>5.02</v>
      </c>
      <c r="C52" s="3">
        <v>6.0</v>
      </c>
      <c r="D52" s="3">
        <v>9.0</v>
      </c>
      <c r="E52" s="3">
        <v>9.0</v>
      </c>
      <c r="F52" s="3">
        <v>4.0</v>
      </c>
      <c r="G52" s="3">
        <v>5.0</v>
      </c>
      <c r="H52" s="3">
        <v>6.0</v>
      </c>
      <c r="I52" s="3">
        <v>4.0</v>
      </c>
      <c r="J52" s="3">
        <v>6.0</v>
      </c>
      <c r="K52" s="3">
        <v>5.0</v>
      </c>
      <c r="L52" s="3">
        <v>8.0</v>
      </c>
      <c r="M52" s="3">
        <v>3.0</v>
      </c>
      <c r="N52" s="3">
        <v>7.0</v>
      </c>
      <c r="O52" s="3">
        <v>8.0</v>
      </c>
      <c r="P52" s="3">
        <v>4.0</v>
      </c>
      <c r="Q52" s="3">
        <v>3.0</v>
      </c>
      <c r="R52" s="3">
        <v>8.0</v>
      </c>
      <c r="S52" s="3">
        <v>4.0</v>
      </c>
      <c r="T52" s="3">
        <v>6.0</v>
      </c>
      <c r="U52" s="3">
        <v>4.0</v>
      </c>
      <c r="V52" s="3">
        <v>4.0</v>
      </c>
      <c r="W52" s="3">
        <v>7.0</v>
      </c>
      <c r="X52" s="3">
        <v>6.0</v>
      </c>
      <c r="Y52" s="3">
        <v>6.0</v>
      </c>
      <c r="Z52" s="3">
        <v>4.0</v>
      </c>
    </row>
    <row r="53" ht="18.75" customHeight="1">
      <c r="A53" s="3" t="s">
        <v>73</v>
      </c>
      <c r="B53" s="4">
        <f>ROUND(redflag_questions_scores!B158,2)</f>
        <v>5.58</v>
      </c>
      <c r="C53" s="3">
        <v>6.0</v>
      </c>
      <c r="D53" s="3">
        <v>7.0</v>
      </c>
      <c r="E53" s="3">
        <v>5.0</v>
      </c>
      <c r="F53" s="3">
        <v>5.0</v>
      </c>
      <c r="G53" s="3">
        <v>6.0</v>
      </c>
      <c r="H53" s="3">
        <v>8.0</v>
      </c>
      <c r="I53" s="3">
        <v>7.0</v>
      </c>
      <c r="J53" s="3">
        <v>6.0</v>
      </c>
      <c r="K53" s="3">
        <v>8.0</v>
      </c>
      <c r="L53" s="3">
        <v>8.0</v>
      </c>
      <c r="M53" s="3">
        <v>5.0</v>
      </c>
      <c r="N53" s="3">
        <v>8.0</v>
      </c>
      <c r="O53" s="3">
        <v>7.0</v>
      </c>
      <c r="P53" s="3">
        <v>7.0</v>
      </c>
      <c r="Q53" s="3">
        <v>6.0</v>
      </c>
      <c r="R53" s="3">
        <v>9.0</v>
      </c>
      <c r="S53" s="3">
        <v>7.0</v>
      </c>
      <c r="T53" s="3">
        <v>7.0</v>
      </c>
      <c r="U53" s="3">
        <v>3.0</v>
      </c>
      <c r="V53" s="3">
        <v>7.0</v>
      </c>
      <c r="W53" s="3">
        <v>8.0</v>
      </c>
      <c r="X53" s="3">
        <v>3.0</v>
      </c>
      <c r="Y53" s="3">
        <v>6.0</v>
      </c>
      <c r="Z53" s="3">
        <v>3.0</v>
      </c>
    </row>
    <row r="54" ht="18.75" customHeight="1">
      <c r="A54" s="3" t="s">
        <v>74</v>
      </c>
      <c r="B54" s="4">
        <f>ROUND(redflag_questions_scores!B159,2)</f>
        <v>5.98</v>
      </c>
      <c r="C54" s="3">
        <v>7.0</v>
      </c>
      <c r="D54" s="3">
        <v>9.0</v>
      </c>
      <c r="E54" s="3">
        <v>10.0</v>
      </c>
      <c r="F54" s="3">
        <v>8.0</v>
      </c>
      <c r="G54" s="3">
        <v>10.0</v>
      </c>
      <c r="H54" s="3">
        <v>8.0</v>
      </c>
      <c r="I54" s="3">
        <v>8.0</v>
      </c>
      <c r="J54" s="3">
        <v>4.0</v>
      </c>
      <c r="K54" s="3">
        <v>8.0</v>
      </c>
      <c r="L54" s="3">
        <v>9.0</v>
      </c>
      <c r="M54" s="3">
        <v>7.0</v>
      </c>
      <c r="N54" s="3">
        <v>9.0</v>
      </c>
      <c r="O54" s="3">
        <v>10.0</v>
      </c>
      <c r="P54" s="3">
        <v>4.0</v>
      </c>
      <c r="Q54" s="3">
        <v>9.0</v>
      </c>
      <c r="R54" s="3">
        <v>10.0</v>
      </c>
      <c r="S54" s="3">
        <v>7.0</v>
      </c>
      <c r="T54" s="3">
        <v>8.0</v>
      </c>
      <c r="U54" s="3">
        <v>7.0</v>
      </c>
      <c r="V54" s="3">
        <v>9.0</v>
      </c>
      <c r="W54" s="3">
        <v>9.0</v>
      </c>
      <c r="X54" s="3">
        <v>9.0</v>
      </c>
      <c r="Y54" s="3">
        <v>8.0</v>
      </c>
      <c r="Z54" s="3">
        <v>9.0</v>
      </c>
    </row>
    <row r="55" ht="18.75" customHeight="1">
      <c r="A55" s="3" t="s">
        <v>75</v>
      </c>
      <c r="B55" s="4">
        <f>ROUND(redflag_questions_scores!B160,2)</f>
        <v>5.04</v>
      </c>
      <c r="C55" s="3">
        <v>10.0</v>
      </c>
      <c r="D55" s="3">
        <v>6.0</v>
      </c>
      <c r="E55" s="3">
        <v>8.0</v>
      </c>
      <c r="F55" s="3">
        <v>5.0</v>
      </c>
      <c r="G55" s="3">
        <v>5.0</v>
      </c>
      <c r="H55" s="3">
        <v>5.0</v>
      </c>
      <c r="I55" s="3">
        <v>6.0</v>
      </c>
      <c r="J55" s="3">
        <v>7.0</v>
      </c>
      <c r="K55" s="3">
        <v>9.0</v>
      </c>
      <c r="L55" s="3">
        <v>8.0</v>
      </c>
      <c r="M55" s="3">
        <v>10.0</v>
      </c>
      <c r="N55" s="3">
        <v>9.0</v>
      </c>
      <c r="O55" s="3">
        <v>8.0</v>
      </c>
      <c r="P55" s="3">
        <v>5.0</v>
      </c>
      <c r="Q55" s="3">
        <v>7.0</v>
      </c>
      <c r="R55" s="3">
        <v>7.0</v>
      </c>
      <c r="S55" s="3">
        <v>3.0</v>
      </c>
      <c r="T55" s="3">
        <v>8.0</v>
      </c>
      <c r="U55" s="3">
        <v>3.0</v>
      </c>
      <c r="V55" s="3">
        <v>7.0</v>
      </c>
      <c r="W55" s="3">
        <v>7.0</v>
      </c>
      <c r="X55" s="3">
        <v>5.0</v>
      </c>
      <c r="Y55" s="3">
        <v>7.0</v>
      </c>
      <c r="Z55" s="3">
        <v>5.0</v>
      </c>
    </row>
    <row r="56" ht="18.75" customHeight="1">
      <c r="A56" s="3" t="s">
        <v>76</v>
      </c>
      <c r="B56" s="4">
        <f>ROUND(redflag_questions_scores!B161,2)</f>
        <v>7.01</v>
      </c>
      <c r="C56" s="3">
        <v>9.0</v>
      </c>
      <c r="D56" s="3">
        <v>8.0</v>
      </c>
      <c r="E56" s="3">
        <v>3.0</v>
      </c>
      <c r="F56" s="3">
        <v>7.0</v>
      </c>
      <c r="G56" s="3">
        <v>6.0</v>
      </c>
      <c r="H56" s="3">
        <v>7.0</v>
      </c>
      <c r="I56" s="3">
        <v>7.0</v>
      </c>
      <c r="J56" s="3">
        <v>9.0</v>
      </c>
      <c r="K56" s="3">
        <v>9.0</v>
      </c>
      <c r="L56" s="3">
        <v>10.0</v>
      </c>
      <c r="M56" s="3">
        <v>7.0</v>
      </c>
      <c r="N56" s="3">
        <v>8.0</v>
      </c>
      <c r="O56" s="3">
        <v>9.0</v>
      </c>
      <c r="P56" s="3">
        <v>8.0</v>
      </c>
      <c r="Q56" s="3">
        <v>7.0</v>
      </c>
      <c r="R56" s="3">
        <v>9.0</v>
      </c>
      <c r="S56" s="3">
        <v>7.0</v>
      </c>
      <c r="T56" s="3">
        <v>7.0</v>
      </c>
      <c r="U56" s="3">
        <v>8.0</v>
      </c>
      <c r="V56" s="3">
        <v>8.0</v>
      </c>
      <c r="W56" s="3">
        <v>10.0</v>
      </c>
      <c r="X56" s="3">
        <v>10.0</v>
      </c>
      <c r="Y56" s="3">
        <v>7.0</v>
      </c>
      <c r="Z56" s="3">
        <v>7.0</v>
      </c>
    </row>
    <row r="57" ht="18.75" customHeight="1">
      <c r="A57" s="3" t="s">
        <v>77</v>
      </c>
      <c r="B57" s="4">
        <f>ROUND(redflag_questions_scores!B162,2)</f>
        <v>6.35</v>
      </c>
      <c r="C57" s="3">
        <v>10.0</v>
      </c>
      <c r="D57" s="3">
        <v>8.0</v>
      </c>
      <c r="E57" s="3">
        <v>5.0</v>
      </c>
      <c r="F57" s="3">
        <v>5.0</v>
      </c>
      <c r="G57" s="3">
        <v>8.0</v>
      </c>
      <c r="H57" s="3">
        <v>9.0</v>
      </c>
      <c r="I57" s="3">
        <v>8.0</v>
      </c>
      <c r="J57" s="3">
        <v>4.0</v>
      </c>
      <c r="K57" s="3">
        <v>9.0</v>
      </c>
      <c r="L57" s="3">
        <v>9.0</v>
      </c>
      <c r="M57" s="3">
        <v>3.0</v>
      </c>
      <c r="N57" s="3">
        <v>8.0</v>
      </c>
      <c r="O57" s="3">
        <v>8.0</v>
      </c>
      <c r="P57" s="3">
        <v>6.0</v>
      </c>
      <c r="Q57" s="3">
        <v>9.0</v>
      </c>
      <c r="R57" s="3">
        <v>9.0</v>
      </c>
      <c r="S57" s="3">
        <v>7.0</v>
      </c>
      <c r="T57" s="3">
        <v>8.0</v>
      </c>
      <c r="U57" s="3">
        <v>4.0</v>
      </c>
      <c r="V57" s="3">
        <v>8.0</v>
      </c>
      <c r="W57" s="3">
        <v>7.0</v>
      </c>
      <c r="X57" s="3">
        <v>4.0</v>
      </c>
      <c r="Y57" s="3">
        <v>8.0</v>
      </c>
      <c r="Z57" s="3">
        <v>6.0</v>
      </c>
    </row>
    <row r="58" ht="18.75" customHeight="1">
      <c r="A58" s="3" t="s">
        <v>78</v>
      </c>
      <c r="B58" s="4">
        <f>ROUND(redflag_questions_scores!B163,2)</f>
        <v>5.8</v>
      </c>
      <c r="C58" s="3">
        <v>8.0</v>
      </c>
      <c r="D58" s="3">
        <v>7.0</v>
      </c>
      <c r="E58" s="3">
        <v>7.0</v>
      </c>
      <c r="F58" s="3">
        <v>5.0</v>
      </c>
      <c r="G58" s="3">
        <v>6.0</v>
      </c>
      <c r="H58" s="3">
        <v>8.0</v>
      </c>
      <c r="I58" s="3">
        <v>7.0</v>
      </c>
      <c r="J58" s="3">
        <v>3.0</v>
      </c>
      <c r="K58" s="3">
        <v>5.0</v>
      </c>
      <c r="L58" s="3">
        <v>4.0</v>
      </c>
      <c r="M58" s="3">
        <v>3.0</v>
      </c>
      <c r="N58" s="3">
        <v>6.0</v>
      </c>
      <c r="O58" s="3">
        <v>6.0</v>
      </c>
      <c r="P58" s="3">
        <v>5.0</v>
      </c>
      <c r="Q58" s="3">
        <v>8.0</v>
      </c>
      <c r="R58" s="3">
        <v>8.0</v>
      </c>
      <c r="S58" s="3">
        <v>5.0</v>
      </c>
      <c r="T58" s="3">
        <v>7.0</v>
      </c>
      <c r="U58" s="3">
        <v>3.0</v>
      </c>
      <c r="V58" s="3">
        <v>6.0</v>
      </c>
      <c r="W58" s="3">
        <v>7.0</v>
      </c>
      <c r="X58" s="3">
        <v>5.0</v>
      </c>
      <c r="Y58" s="3">
        <v>7.0</v>
      </c>
      <c r="Z58" s="3">
        <v>6.0</v>
      </c>
    </row>
    <row r="59" ht="18.75" customHeight="1">
      <c r="A59" s="3" t="s">
        <v>79</v>
      </c>
      <c r="B59" s="4">
        <f>ROUND(redflag_questions_scores!B164,2)</f>
        <v>6.33</v>
      </c>
      <c r="C59" s="3">
        <v>6.0</v>
      </c>
      <c r="D59" s="3">
        <v>4.0</v>
      </c>
      <c r="E59" s="3">
        <v>10.0</v>
      </c>
      <c r="F59" s="3">
        <v>7.0</v>
      </c>
      <c r="G59" s="3">
        <v>5.0</v>
      </c>
      <c r="H59" s="3">
        <v>8.0</v>
      </c>
      <c r="I59" s="3">
        <v>8.0</v>
      </c>
      <c r="J59" s="3">
        <v>6.0</v>
      </c>
      <c r="K59" s="3">
        <v>10.0</v>
      </c>
      <c r="L59" s="3">
        <v>7.0</v>
      </c>
      <c r="M59" s="3">
        <v>10.0</v>
      </c>
      <c r="N59" s="3">
        <v>9.0</v>
      </c>
      <c r="O59" s="3">
        <v>9.0</v>
      </c>
      <c r="P59" s="3">
        <v>5.0</v>
      </c>
      <c r="Q59" s="3">
        <v>9.0</v>
      </c>
      <c r="R59" s="3">
        <v>8.0</v>
      </c>
      <c r="S59" s="3">
        <v>7.0</v>
      </c>
      <c r="T59" s="3">
        <v>7.0</v>
      </c>
      <c r="U59" s="3">
        <v>2.0</v>
      </c>
      <c r="V59" s="3">
        <v>9.0</v>
      </c>
      <c r="W59" s="3">
        <v>9.0</v>
      </c>
      <c r="X59" s="3">
        <v>8.0</v>
      </c>
      <c r="Y59" s="3">
        <v>8.0</v>
      </c>
      <c r="Z59" s="3">
        <v>3.0</v>
      </c>
    </row>
    <row r="60" ht="18.75" customHeight="1">
      <c r="A60" s="3" t="s">
        <v>80</v>
      </c>
      <c r="B60" s="4">
        <f>ROUND(redflag_questions_scores!B165,2)</f>
        <v>3.97</v>
      </c>
      <c r="C60" s="3">
        <v>6.0</v>
      </c>
      <c r="D60" s="3">
        <v>6.0</v>
      </c>
      <c r="E60" s="3">
        <v>2.0</v>
      </c>
      <c r="F60" s="3">
        <v>7.0</v>
      </c>
      <c r="G60" s="3">
        <v>7.0</v>
      </c>
      <c r="H60" s="3">
        <v>10.0</v>
      </c>
      <c r="I60" s="3">
        <v>7.0</v>
      </c>
      <c r="J60" s="3">
        <v>3.0</v>
      </c>
      <c r="K60" s="3">
        <v>1.0</v>
      </c>
      <c r="L60" s="3">
        <v>5.0</v>
      </c>
      <c r="M60" s="3">
        <v>5.0</v>
      </c>
      <c r="N60" s="3">
        <v>5.0</v>
      </c>
      <c r="O60" s="3">
        <v>2.0</v>
      </c>
      <c r="P60" s="3">
        <v>2.0</v>
      </c>
      <c r="Q60" s="3">
        <v>3.0</v>
      </c>
      <c r="R60" s="3">
        <v>6.0</v>
      </c>
      <c r="S60" s="3">
        <v>8.0</v>
      </c>
      <c r="T60" s="3">
        <v>4.0</v>
      </c>
      <c r="U60" s="3">
        <v>2.0</v>
      </c>
      <c r="V60" s="3">
        <v>1.0</v>
      </c>
      <c r="W60" s="3">
        <v>4.0</v>
      </c>
      <c r="X60" s="3">
        <v>2.0</v>
      </c>
      <c r="Y60" s="3">
        <v>2.0</v>
      </c>
      <c r="Z60" s="3">
        <v>7.0</v>
      </c>
    </row>
    <row r="61" ht="18.75" customHeight="1">
      <c r="A61" s="3" t="s">
        <v>81</v>
      </c>
      <c r="B61" s="4">
        <f>ROUND(redflag_questions_scores!B166,2)</f>
        <v>5.24</v>
      </c>
      <c r="C61" s="3">
        <v>9.0</v>
      </c>
      <c r="D61" s="3">
        <v>8.0</v>
      </c>
      <c r="E61" s="3">
        <v>5.0</v>
      </c>
      <c r="F61" s="3">
        <v>3.0</v>
      </c>
      <c r="G61" s="3">
        <v>8.0</v>
      </c>
      <c r="H61" s="3">
        <v>10.0</v>
      </c>
      <c r="I61" s="3">
        <v>8.0</v>
      </c>
      <c r="J61" s="3">
        <v>8.0</v>
      </c>
      <c r="K61" s="3">
        <v>5.0</v>
      </c>
      <c r="L61" s="3">
        <v>8.0</v>
      </c>
      <c r="M61" s="3">
        <v>5.0</v>
      </c>
      <c r="N61" s="3">
        <v>7.0</v>
      </c>
      <c r="O61" s="3">
        <v>8.0</v>
      </c>
      <c r="P61" s="3">
        <v>3.0</v>
      </c>
      <c r="Q61" s="3">
        <v>8.0</v>
      </c>
      <c r="R61" s="3">
        <v>9.0</v>
      </c>
      <c r="S61" s="3">
        <v>7.0</v>
      </c>
      <c r="T61" s="3">
        <v>7.0</v>
      </c>
      <c r="U61" s="3">
        <v>8.0</v>
      </c>
      <c r="V61" s="3">
        <v>7.0</v>
      </c>
      <c r="W61" s="3">
        <v>9.0</v>
      </c>
      <c r="X61" s="3">
        <v>2.0</v>
      </c>
      <c r="Y61" s="3">
        <v>7.0</v>
      </c>
      <c r="Z61" s="3">
        <v>8.0</v>
      </c>
    </row>
    <row r="62" ht="18.75" customHeight="1">
      <c r="A62" s="3" t="s">
        <v>82</v>
      </c>
      <c r="B62" s="4">
        <f>ROUND(redflag_questions_scores!B167,2)</f>
        <v>6.28</v>
      </c>
      <c r="C62" s="3">
        <v>8.0</v>
      </c>
      <c r="D62" s="3">
        <v>9.0</v>
      </c>
      <c r="E62" s="3">
        <v>10.0</v>
      </c>
      <c r="F62" s="3">
        <v>7.0</v>
      </c>
      <c r="G62" s="3">
        <v>7.0</v>
      </c>
      <c r="H62" s="3">
        <v>5.0</v>
      </c>
      <c r="I62" s="3">
        <v>8.0</v>
      </c>
      <c r="J62" s="3">
        <v>6.0</v>
      </c>
      <c r="K62" s="3">
        <v>6.0</v>
      </c>
      <c r="L62" s="3">
        <v>10.0</v>
      </c>
      <c r="M62" s="3">
        <v>9.0</v>
      </c>
      <c r="N62" s="3">
        <v>9.0</v>
      </c>
      <c r="O62" s="3">
        <v>8.0</v>
      </c>
      <c r="P62" s="3">
        <v>5.0</v>
      </c>
      <c r="Q62" s="3">
        <v>5.0</v>
      </c>
      <c r="R62" s="3">
        <v>8.0</v>
      </c>
      <c r="S62" s="3">
        <v>6.0</v>
      </c>
      <c r="T62" s="3">
        <v>8.0</v>
      </c>
      <c r="U62" s="3">
        <v>5.0</v>
      </c>
      <c r="V62" s="3">
        <v>8.0</v>
      </c>
      <c r="W62" s="3">
        <v>8.0</v>
      </c>
      <c r="X62" s="3">
        <v>4.0</v>
      </c>
      <c r="Y62" s="3">
        <v>8.0</v>
      </c>
      <c r="Z62" s="3">
        <v>5.0</v>
      </c>
    </row>
    <row r="63" ht="18.75" customHeight="1">
      <c r="A63" s="3" t="s">
        <v>83</v>
      </c>
      <c r="B63" s="4">
        <f>ROUND(redflag_questions_scores!B168,2)</f>
        <v>6.42</v>
      </c>
      <c r="C63" s="3">
        <v>10.0</v>
      </c>
      <c r="D63" s="3">
        <v>5.0</v>
      </c>
      <c r="E63" s="3">
        <v>10.0</v>
      </c>
      <c r="F63" s="3">
        <v>3.0</v>
      </c>
      <c r="G63" s="3">
        <v>9.0</v>
      </c>
      <c r="H63" s="3">
        <v>8.0</v>
      </c>
      <c r="I63" s="3">
        <v>6.0</v>
      </c>
      <c r="J63" s="3">
        <v>7.0</v>
      </c>
      <c r="K63" s="3">
        <v>7.0</v>
      </c>
      <c r="L63" s="3">
        <v>8.0</v>
      </c>
      <c r="M63" s="3">
        <v>8.0</v>
      </c>
      <c r="N63" s="3">
        <v>7.0</v>
      </c>
      <c r="O63" s="3">
        <v>9.0</v>
      </c>
      <c r="P63" s="3">
        <v>5.0</v>
      </c>
      <c r="Q63" s="3">
        <v>8.0</v>
      </c>
      <c r="R63" s="3">
        <v>9.0</v>
      </c>
      <c r="S63" s="3">
        <v>6.0</v>
      </c>
      <c r="T63" s="3">
        <v>7.0</v>
      </c>
      <c r="U63" s="3">
        <v>6.0</v>
      </c>
      <c r="V63" s="3">
        <v>9.0</v>
      </c>
      <c r="W63" s="3">
        <v>9.0</v>
      </c>
      <c r="X63" s="3">
        <v>8.0</v>
      </c>
      <c r="Y63" s="3">
        <v>8.0</v>
      </c>
      <c r="Z63" s="3">
        <v>7.0</v>
      </c>
    </row>
    <row r="64" ht="18.75" customHeight="1">
      <c r="A64" s="3" t="s">
        <v>84</v>
      </c>
      <c r="B64" s="4">
        <f>ROUND(redflag_questions_scores!B169,2)</f>
        <v>4.32</v>
      </c>
      <c r="C64" s="3">
        <v>8.0</v>
      </c>
      <c r="D64" s="3">
        <v>3.0</v>
      </c>
      <c r="E64" s="3">
        <v>5.0</v>
      </c>
      <c r="F64" s="3">
        <v>2.0</v>
      </c>
      <c r="G64" s="3">
        <v>6.0</v>
      </c>
      <c r="H64" s="3">
        <v>5.0</v>
      </c>
      <c r="I64" s="3">
        <v>9.0</v>
      </c>
      <c r="J64" s="3">
        <v>6.0</v>
      </c>
      <c r="K64" s="3">
        <v>5.0</v>
      </c>
      <c r="L64" s="3">
        <v>6.0</v>
      </c>
      <c r="M64" s="3">
        <v>10.0</v>
      </c>
      <c r="N64" s="3">
        <v>6.0</v>
      </c>
      <c r="O64" s="3">
        <v>8.0</v>
      </c>
      <c r="P64" s="3">
        <v>6.0</v>
      </c>
      <c r="Q64" s="3">
        <v>5.0</v>
      </c>
      <c r="R64" s="3">
        <v>10.0</v>
      </c>
      <c r="S64" s="3">
        <v>3.0</v>
      </c>
      <c r="T64" s="3">
        <v>6.0</v>
      </c>
      <c r="U64" s="3">
        <v>9.0</v>
      </c>
      <c r="V64" s="3">
        <v>8.0</v>
      </c>
      <c r="W64" s="3">
        <v>10.0</v>
      </c>
      <c r="X64" s="3">
        <v>9.0</v>
      </c>
      <c r="Y64" s="3">
        <v>7.0</v>
      </c>
      <c r="Z64" s="3">
        <v>6.0</v>
      </c>
    </row>
    <row r="65" ht="18.75" customHeight="1">
      <c r="A65" s="3" t="s">
        <v>85</v>
      </c>
      <c r="B65" s="4">
        <f>ROUND(redflag_questions_scores!B170,2)</f>
        <v>4.6</v>
      </c>
      <c r="C65" s="3">
        <v>6.0</v>
      </c>
      <c r="D65" s="3">
        <v>4.0</v>
      </c>
      <c r="E65" s="3">
        <v>5.0</v>
      </c>
      <c r="F65" s="3">
        <v>3.0</v>
      </c>
      <c r="G65" s="3">
        <v>6.0</v>
      </c>
      <c r="H65" s="3">
        <v>8.0</v>
      </c>
      <c r="I65" s="3">
        <v>6.0</v>
      </c>
      <c r="J65" s="3">
        <v>2.0</v>
      </c>
      <c r="K65" s="3">
        <v>10.0</v>
      </c>
      <c r="L65" s="3">
        <v>7.0</v>
      </c>
      <c r="M65" s="3">
        <v>10.0</v>
      </c>
      <c r="N65" s="3">
        <v>5.0</v>
      </c>
      <c r="O65" s="3">
        <v>9.0</v>
      </c>
      <c r="P65" s="3">
        <v>1.0</v>
      </c>
      <c r="Q65" s="3">
        <v>8.0</v>
      </c>
      <c r="R65" s="3">
        <v>8.0</v>
      </c>
      <c r="S65" s="3">
        <v>6.0</v>
      </c>
      <c r="T65" s="3">
        <v>6.0</v>
      </c>
      <c r="U65" s="3">
        <v>7.0</v>
      </c>
      <c r="V65" s="3">
        <v>5.0</v>
      </c>
      <c r="W65" s="3">
        <v>10.0</v>
      </c>
      <c r="X65" s="3">
        <v>2.0</v>
      </c>
      <c r="Y65" s="3">
        <v>2.0</v>
      </c>
      <c r="Z65" s="3">
        <v>6.0</v>
      </c>
    </row>
    <row r="66" ht="18.75" customHeight="1">
      <c r="A66" s="3" t="s">
        <v>86</v>
      </c>
      <c r="B66" s="4">
        <f>ROUND(redflag_questions_scores!B171,2)</f>
        <v>4.79</v>
      </c>
      <c r="C66" s="3">
        <v>10.0</v>
      </c>
      <c r="D66" s="3">
        <v>8.0</v>
      </c>
      <c r="E66" s="3">
        <v>5.0</v>
      </c>
      <c r="F66" s="3">
        <v>4.0</v>
      </c>
      <c r="G66" s="3">
        <v>5.0</v>
      </c>
      <c r="H66" s="3">
        <v>9.0</v>
      </c>
      <c r="I66" s="3">
        <v>5.0</v>
      </c>
      <c r="J66" s="3">
        <v>4.0</v>
      </c>
      <c r="K66" s="3">
        <v>10.0</v>
      </c>
      <c r="L66" s="3">
        <v>7.0</v>
      </c>
      <c r="M66" s="3">
        <v>10.0</v>
      </c>
      <c r="N66" s="3">
        <v>7.0</v>
      </c>
      <c r="O66" s="3">
        <v>9.0</v>
      </c>
      <c r="P66" s="3">
        <v>3.0</v>
      </c>
      <c r="Q66" s="3">
        <v>8.0</v>
      </c>
      <c r="R66" s="3">
        <v>10.0</v>
      </c>
      <c r="S66" s="3">
        <v>6.0</v>
      </c>
      <c r="T66" s="3">
        <v>6.0</v>
      </c>
      <c r="U66" s="3">
        <v>8.0</v>
      </c>
      <c r="V66" s="3">
        <v>7.0</v>
      </c>
      <c r="W66" s="3">
        <v>6.0</v>
      </c>
      <c r="X66" s="3">
        <v>4.0</v>
      </c>
      <c r="Y66" s="3">
        <v>7.0</v>
      </c>
      <c r="Z66" s="3">
        <v>5.0</v>
      </c>
    </row>
    <row r="67" ht="18.75" customHeight="1">
      <c r="A67" s="3"/>
      <c r="B67" s="4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8.75" customHeight="1">
      <c r="A68" s="3"/>
      <c r="B68" s="4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8.75" customHeight="1">
      <c r="A69" s="3"/>
      <c r="B69" s="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8.75" customHeight="1">
      <c r="A70" s="6"/>
      <c r="B70" s="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8.75" customHeight="1">
      <c r="A71" s="6"/>
      <c r="B71" s="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8.75" customHeight="1">
      <c r="A72" s="6"/>
      <c r="B72" s="4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8.75" customHeight="1">
      <c r="A73" s="6"/>
      <c r="B73" s="4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8.75" customHeight="1">
      <c r="A74" s="6"/>
      <c r="B74" s="4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8.75" customHeight="1">
      <c r="A75" s="6"/>
      <c r="B75" s="4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8.75" customHeight="1">
      <c r="A76" s="6"/>
      <c r="B76" s="4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8.75" customHeight="1">
      <c r="A77" s="6"/>
      <c r="B77" s="4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8.75" customHeight="1">
      <c r="A78" s="6"/>
      <c r="B78" s="4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8.75" customHeight="1">
      <c r="A79" s="6"/>
      <c r="B79" s="4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8.75" customHeight="1">
      <c r="A80" s="6"/>
      <c r="B80" s="4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8.75" customHeight="1">
      <c r="A81" s="6"/>
      <c r="B81" s="4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8.75" customHeight="1">
      <c r="A82" s="6"/>
      <c r="B82" s="4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8.75" customHeight="1">
      <c r="A83" s="6"/>
      <c r="B83" s="4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8.75" customHeight="1">
      <c r="A84" s="6"/>
      <c r="B84" s="4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8.75" customHeight="1">
      <c r="A85" s="6"/>
      <c r="B85" s="4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8.75" customHeight="1">
      <c r="A86" s="6"/>
      <c r="B86" s="4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8.75" customHeight="1">
      <c r="A87" s="6"/>
      <c r="B87" s="4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8.75" customHeight="1">
      <c r="A88" s="6"/>
      <c r="B88" s="4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8.75" customHeight="1">
      <c r="A89" s="6"/>
      <c r="B89" s="4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8.75" customHeight="1">
      <c r="A90" s="6"/>
      <c r="B90" s="4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8.75" customHeight="1">
      <c r="A91" s="6"/>
      <c r="B91" s="4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8.75" customHeight="1">
      <c r="A92" s="6"/>
      <c r="B92" s="4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8.75" customHeight="1">
      <c r="A93" s="6"/>
      <c r="B93" s="4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8.75" customHeight="1">
      <c r="A94" s="6"/>
      <c r="B94" s="4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8.75" customHeight="1">
      <c r="A95" s="6"/>
      <c r="B95" s="4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8.75" customHeight="1">
      <c r="A96" s="6"/>
      <c r="B96" s="4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8.75" customHeight="1">
      <c r="A97" s="6"/>
      <c r="B97" s="4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8.75" customHeight="1">
      <c r="A98" s="6"/>
      <c r="B98" s="4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8.75" customHeight="1">
      <c r="A99" s="6"/>
      <c r="B99" s="4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8.75" customHeight="1">
      <c r="A100" s="6"/>
      <c r="B100" s="4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8.75" customHeight="1">
      <c r="A101" s="6"/>
      <c r="B101" s="4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8.75" customHeight="1">
      <c r="A102" s="6"/>
      <c r="B102" s="4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8.75" customHeight="1">
      <c r="A103" s="6"/>
      <c r="B103" s="4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8.75" customHeight="1">
      <c r="A104" s="6"/>
      <c r="B104" s="4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8.75" customHeight="1">
      <c r="A105" s="6"/>
      <c r="B105" s="4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8.75" customHeight="1">
      <c r="A106" s="6"/>
      <c r="B106" s="4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8.75" customHeight="1">
      <c r="A107" s="6"/>
      <c r="B107" s="4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8.75" customHeight="1">
      <c r="A108" s="6"/>
      <c r="B108" s="4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8.75" customHeight="1">
      <c r="A109" s="6"/>
      <c r="B109" s="4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8.75" customHeight="1">
      <c r="A110" s="6"/>
      <c r="B110" s="4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8.75" customHeight="1">
      <c r="A111" s="6"/>
      <c r="B111" s="4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8.75" customHeight="1">
      <c r="A112" s="6"/>
      <c r="B112" s="4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8.75" customHeight="1">
      <c r="A113" s="6"/>
      <c r="B113" s="4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8.75" customHeight="1">
      <c r="A114" s="6"/>
      <c r="B114" s="4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8.75" customHeight="1">
      <c r="A115" s="6"/>
      <c r="B115" s="4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8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8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8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8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8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8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8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8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8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8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8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8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8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8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8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8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8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8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8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8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8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8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8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8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8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8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8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8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8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8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8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8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8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8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8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8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8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8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8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8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8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8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8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8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8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8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8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8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8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8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8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8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8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8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8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8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8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8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8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8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8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8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8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8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8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8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8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8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8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8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8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8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8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8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8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8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8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8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8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8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8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8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8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8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8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8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8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8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8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8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8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8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8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8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8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8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8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8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8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8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8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8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8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8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8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8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8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8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8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8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8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8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8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8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8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8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8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8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8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8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8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8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8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8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8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8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8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8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8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8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8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8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8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8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8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8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8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8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8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8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8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8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8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8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8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8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8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8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8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8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8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8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8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8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8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8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8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8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8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8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8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8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8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8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8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8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8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8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8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8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8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8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8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8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8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8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8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8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8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8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8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8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8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8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8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8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8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8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8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8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8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8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8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8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8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8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8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8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8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8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8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8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8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8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8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8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8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8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8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8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8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8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8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8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8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8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8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8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8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8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8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8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8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8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8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8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8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8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8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8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8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8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8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8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8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8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8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8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8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8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8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8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8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8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8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8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8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8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8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8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8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8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8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8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8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8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8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8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8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8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8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8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8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8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8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8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8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8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8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8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8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8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8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8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8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8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8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8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8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8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8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8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8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8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8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8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8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8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8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8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8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8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8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8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8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8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8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8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8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8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8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8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8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8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8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8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8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8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8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8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8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8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8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8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8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8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8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8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8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8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8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8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8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8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8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8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8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8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8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8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8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8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8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8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8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8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8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8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8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8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8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8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8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8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8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8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8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8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8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8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8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8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8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8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8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8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8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8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8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8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8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8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8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8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8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8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8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8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8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8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8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8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8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8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8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8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8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8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8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8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8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8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8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8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8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8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8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8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8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8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8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8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8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8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8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8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8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8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8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8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8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8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8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8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8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8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8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8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8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8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8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8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8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8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8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8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8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8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8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8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8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8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8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8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8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8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8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8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8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8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8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8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8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8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8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8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8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8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8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8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8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8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8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8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8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8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8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8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8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8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8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8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8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8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8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8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8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8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8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8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8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8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8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8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8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8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8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8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8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8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8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8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8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8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8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8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8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8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8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8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8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8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8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8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8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8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8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8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8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8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8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8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8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8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8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8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8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8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8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8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8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8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8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8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8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8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8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8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8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8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8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8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8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8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8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8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8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8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8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8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8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8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8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8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8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8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8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8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8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8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8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8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8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8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8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8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8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8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8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8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8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8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8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8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8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8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8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8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8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8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8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8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8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8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8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8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8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8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8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8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8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8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8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8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8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8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8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8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8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8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8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8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8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8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8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8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8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8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8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8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8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8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8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8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8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8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8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8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8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8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8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8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8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8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8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8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8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8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8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8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8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8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8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8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8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8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8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8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8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8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8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8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8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8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8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8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8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8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8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8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8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8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8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8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8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8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8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8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8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8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8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8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8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8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8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8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8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8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8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8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8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8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8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8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8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8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8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8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8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8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8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8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8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8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8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8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8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8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8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8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8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8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8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8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8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8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8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8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8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8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8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8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8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8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8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8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8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8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8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8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8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8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8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8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8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8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8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8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8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8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8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8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8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8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8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8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8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8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8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8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8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8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8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8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8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8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8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8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8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8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8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8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8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8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8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8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8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8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8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8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8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8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8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8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8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8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8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8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8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8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8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8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8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8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8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8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8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8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8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8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8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8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8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8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8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8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8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8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8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8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8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8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8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8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8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8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8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8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8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8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8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8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8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8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8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8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8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8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8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8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8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8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8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8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8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8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8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8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8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8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8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8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8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8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8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8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8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8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8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8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8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8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8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8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8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8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8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8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8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8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8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8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8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8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8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8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8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8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8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8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8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8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8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8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8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8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8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8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8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8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8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8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8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8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8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8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8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8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8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8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8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8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8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8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8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8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8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8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8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8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8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8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8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8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8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8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8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8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8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8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8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8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8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8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8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8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8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8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8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8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8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8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8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8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8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8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8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8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8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8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8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8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6.75"/>
    <col customWidth="1" min="2" max="2" width="8.13"/>
  </cols>
  <sheetData>
    <row r="1" ht="18.0" customHeight="1">
      <c r="A1" s="7" t="s">
        <v>0</v>
      </c>
      <c r="B1" s="8" t="s">
        <v>1</v>
      </c>
      <c r="C1" s="2"/>
      <c r="D1" s="2"/>
      <c r="E1" s="2"/>
      <c r="F1" s="2"/>
      <c r="G1" s="2"/>
      <c r="H1" s="2"/>
      <c r="I1" s="2"/>
      <c r="J1" s="2"/>
    </row>
    <row r="2" ht="18.0" customHeight="1">
      <c r="A2" s="9" t="s">
        <v>62</v>
      </c>
      <c r="B2" s="10">
        <f>ROUND(redflag_questions_scores!B147,2)</f>
        <v>7.25</v>
      </c>
      <c r="C2" s="3"/>
      <c r="D2" s="3"/>
      <c r="E2" s="3"/>
      <c r="F2" s="3"/>
      <c r="G2" s="3"/>
      <c r="H2" s="3"/>
      <c r="I2" s="3"/>
      <c r="J2" s="3"/>
    </row>
    <row r="3" ht="18.0" customHeight="1">
      <c r="A3" s="9" t="s">
        <v>35</v>
      </c>
      <c r="B3" s="10">
        <f>ROUND(redflag_questions_scores!B120,2)</f>
        <v>7.17</v>
      </c>
      <c r="C3" s="3"/>
      <c r="D3" s="3"/>
      <c r="E3" s="3"/>
      <c r="F3" s="3"/>
      <c r="G3" s="3"/>
      <c r="H3" s="3"/>
      <c r="I3" s="3"/>
      <c r="J3" s="3"/>
    </row>
    <row r="4" ht="18.0" customHeight="1">
      <c r="A4" s="9" t="s">
        <v>49</v>
      </c>
      <c r="B4" s="10">
        <f>ROUND(redflag_questions_scores!B134,2)</f>
        <v>7.16</v>
      </c>
      <c r="C4" s="3"/>
      <c r="D4" s="3"/>
      <c r="E4" s="3"/>
      <c r="F4" s="3"/>
      <c r="G4" s="3"/>
      <c r="H4" s="3"/>
      <c r="I4" s="3"/>
      <c r="J4" s="3"/>
    </row>
    <row r="5" ht="18.0" customHeight="1">
      <c r="A5" s="9" t="s">
        <v>76</v>
      </c>
      <c r="B5" s="10">
        <f>ROUND(redflag_questions_scores!B161,2)</f>
        <v>7.01</v>
      </c>
      <c r="C5" s="3"/>
      <c r="D5" s="3"/>
      <c r="E5" s="3"/>
      <c r="F5" s="3"/>
      <c r="G5" s="3"/>
      <c r="H5" s="3"/>
      <c r="I5" s="3"/>
      <c r="J5" s="3"/>
    </row>
    <row r="6" ht="18.0" customHeight="1">
      <c r="A6" s="9" t="s">
        <v>59</v>
      </c>
      <c r="B6" s="10">
        <f>ROUND(redflag_questions_scores!B144,2)</f>
        <v>6.45</v>
      </c>
      <c r="C6" s="3"/>
      <c r="D6" s="3"/>
      <c r="E6" s="3"/>
      <c r="F6" s="3"/>
      <c r="G6" s="3"/>
      <c r="H6" s="3"/>
      <c r="I6" s="3"/>
      <c r="J6" s="3"/>
    </row>
    <row r="7" ht="18.0" customHeight="1">
      <c r="A7" s="9" t="s">
        <v>28</v>
      </c>
      <c r="B7" s="10">
        <f>ROUND(redflag_questions_scores!B113,2)</f>
        <v>6.43</v>
      </c>
      <c r="C7" s="3"/>
      <c r="D7" s="3"/>
      <c r="E7" s="3"/>
      <c r="F7" s="3"/>
      <c r="G7" s="3"/>
      <c r="H7" s="3"/>
      <c r="I7" s="3"/>
      <c r="J7" s="3"/>
    </row>
    <row r="8" ht="18.0" customHeight="1">
      <c r="A8" s="9" t="s">
        <v>83</v>
      </c>
      <c r="B8" s="10">
        <f>ROUND(redflag_questions_scores!B168,2)</f>
        <v>6.42</v>
      </c>
      <c r="C8" s="3"/>
      <c r="D8" s="3"/>
      <c r="E8" s="3"/>
      <c r="F8" s="3"/>
      <c r="G8" s="3"/>
      <c r="H8" s="3"/>
      <c r="I8" s="3"/>
      <c r="J8" s="3"/>
    </row>
    <row r="9" ht="18.0" customHeight="1">
      <c r="A9" s="9" t="s">
        <v>43</v>
      </c>
      <c r="B9" s="10">
        <f>ROUND(redflag_questions_scores!B128,2)</f>
        <v>6.4</v>
      </c>
      <c r="C9" s="3"/>
      <c r="D9" s="3"/>
      <c r="E9" s="3"/>
      <c r="F9" s="3"/>
      <c r="G9" s="3"/>
      <c r="H9" s="3"/>
      <c r="I9" s="3"/>
      <c r="J9" s="3"/>
    </row>
    <row r="10" ht="18.0" customHeight="1">
      <c r="A10" s="9" t="s">
        <v>77</v>
      </c>
      <c r="B10" s="10">
        <f>ROUND(redflag_questions_scores!B162,2)</f>
        <v>6.35</v>
      </c>
      <c r="C10" s="3"/>
      <c r="D10" s="3"/>
      <c r="E10" s="3"/>
      <c r="F10" s="3"/>
      <c r="G10" s="3"/>
      <c r="H10" s="3"/>
      <c r="I10" s="3"/>
      <c r="J10" s="3"/>
    </row>
    <row r="11" ht="18.0" customHeight="1">
      <c r="A11" s="9" t="s">
        <v>79</v>
      </c>
      <c r="B11" s="10">
        <f>ROUND(redflag_questions_scores!B164,2)</f>
        <v>6.33</v>
      </c>
      <c r="C11" s="3"/>
      <c r="D11" s="3"/>
      <c r="E11" s="3"/>
      <c r="F11" s="3"/>
      <c r="G11" s="3"/>
      <c r="H11" s="3"/>
      <c r="I11" s="3"/>
      <c r="J11" s="3"/>
    </row>
    <row r="12" ht="18.0" customHeight="1">
      <c r="A12" s="9" t="s">
        <v>48</v>
      </c>
      <c r="B12" s="10">
        <f>ROUND(redflag_questions_scores!B133,2)</f>
        <v>6.3</v>
      </c>
      <c r="C12" s="3"/>
      <c r="D12" s="3"/>
      <c r="E12" s="3"/>
      <c r="F12" s="3"/>
      <c r="G12" s="3"/>
      <c r="H12" s="3"/>
      <c r="I12" s="3"/>
      <c r="J12" s="3"/>
    </row>
    <row r="13" ht="18.0" customHeight="1">
      <c r="A13" s="9" t="s">
        <v>44</v>
      </c>
      <c r="B13" s="10">
        <f>ROUND(redflag_questions_scores!B129,2)</f>
        <v>6.28</v>
      </c>
      <c r="C13" s="3"/>
      <c r="D13" s="3"/>
      <c r="E13" s="3"/>
      <c r="F13" s="3"/>
      <c r="G13" s="3"/>
      <c r="H13" s="3"/>
      <c r="I13" s="3"/>
      <c r="J13" s="3"/>
    </row>
    <row r="14" ht="18.0" customHeight="1">
      <c r="A14" s="9" t="s">
        <v>82</v>
      </c>
      <c r="B14" s="10">
        <f>ROUND(redflag_questions_scores!B167,2)</f>
        <v>6.28</v>
      </c>
      <c r="C14" s="3"/>
      <c r="D14" s="3"/>
      <c r="E14" s="3"/>
      <c r="F14" s="3"/>
      <c r="G14" s="3"/>
      <c r="H14" s="3"/>
      <c r="I14" s="3"/>
      <c r="J14" s="3"/>
    </row>
    <row r="15" ht="18.0" customHeight="1">
      <c r="A15" s="9" t="s">
        <v>41</v>
      </c>
      <c r="B15" s="10">
        <f>ROUND(redflag_questions_scores!B126,2)</f>
        <v>6.17</v>
      </c>
      <c r="C15" s="3"/>
      <c r="D15" s="3"/>
      <c r="E15" s="3"/>
      <c r="F15" s="3"/>
      <c r="G15" s="3"/>
      <c r="H15" s="3"/>
      <c r="I15" s="3"/>
      <c r="J15" s="3"/>
    </row>
    <row r="16" ht="18.0" customHeight="1">
      <c r="A16" s="9" t="s">
        <v>25</v>
      </c>
      <c r="B16" s="10">
        <f>ROUND(redflag_questions_scores!B110,2)</f>
        <v>6.13</v>
      </c>
      <c r="C16" s="3"/>
      <c r="D16" s="3"/>
      <c r="E16" s="3"/>
      <c r="F16" s="3"/>
      <c r="G16" s="3"/>
      <c r="H16" s="3"/>
      <c r="I16" s="3"/>
      <c r="J16" s="3"/>
    </row>
    <row r="17" ht="18.0" customHeight="1">
      <c r="A17" s="9" t="s">
        <v>66</v>
      </c>
      <c r="B17" s="10">
        <f>ROUND(redflag_questions_scores!B151,2)</f>
        <v>6.07</v>
      </c>
      <c r="C17" s="3"/>
      <c r="D17" s="3"/>
      <c r="E17" s="3"/>
      <c r="F17" s="3"/>
      <c r="G17" s="3"/>
      <c r="H17" s="3"/>
      <c r="I17" s="3"/>
      <c r="J17" s="3"/>
    </row>
    <row r="18" ht="18.0" customHeight="1">
      <c r="A18" s="9" t="s">
        <v>53</v>
      </c>
      <c r="B18" s="10">
        <f>ROUND(redflag_questions_scores!B138,2)</f>
        <v>6</v>
      </c>
      <c r="C18" s="3"/>
      <c r="D18" s="3"/>
      <c r="F18" s="3"/>
      <c r="G18" s="3"/>
      <c r="H18" s="3"/>
      <c r="I18" s="3"/>
      <c r="J18" s="3"/>
    </row>
    <row r="19" ht="18.0" customHeight="1">
      <c r="A19" s="9" t="s">
        <v>74</v>
      </c>
      <c r="B19" s="10">
        <f>ROUND(redflag_questions_scores!B159,2)</f>
        <v>5.98</v>
      </c>
      <c r="C19" s="3"/>
      <c r="D19" s="3"/>
      <c r="E19" s="3"/>
      <c r="F19" s="3"/>
      <c r="G19" s="3"/>
      <c r="H19" s="3"/>
      <c r="I19" s="3"/>
      <c r="J19" s="3"/>
    </row>
    <row r="20" ht="18.0" customHeight="1">
      <c r="A20" s="9" t="s">
        <v>52</v>
      </c>
      <c r="B20" s="10">
        <f>ROUND(redflag_questions_scores!B137,2)</f>
        <v>5.96</v>
      </c>
      <c r="C20" s="3"/>
      <c r="D20" s="3"/>
      <c r="E20" s="3"/>
      <c r="F20" s="3"/>
      <c r="G20" s="3"/>
      <c r="H20" s="3"/>
      <c r="I20" s="3"/>
      <c r="J20" s="3"/>
    </row>
    <row r="21" ht="18.0" customHeight="1">
      <c r="A21" s="9" t="s">
        <v>55</v>
      </c>
      <c r="B21" s="10">
        <f>ROUND(redflag_questions_scores!B140,2)</f>
        <v>5.92</v>
      </c>
      <c r="C21" s="3"/>
      <c r="D21" s="3"/>
      <c r="E21" s="3"/>
      <c r="F21" s="3"/>
      <c r="G21" s="3"/>
      <c r="H21" s="3"/>
      <c r="I21" s="3"/>
      <c r="J21" s="3"/>
    </row>
    <row r="22" ht="18.0" customHeight="1">
      <c r="A22" s="9" t="s">
        <v>87</v>
      </c>
      <c r="B22" s="10">
        <f>ROUND(redflag_questions_scores!B154,2)</f>
        <v>5.91</v>
      </c>
      <c r="C22" s="3"/>
      <c r="D22" s="3"/>
      <c r="E22" s="3"/>
      <c r="F22" s="3"/>
      <c r="G22" s="3"/>
      <c r="H22" s="3"/>
      <c r="I22" s="3"/>
      <c r="J22" s="3"/>
    </row>
    <row r="23" ht="18.0" customHeight="1">
      <c r="A23" s="9" t="s">
        <v>50</v>
      </c>
      <c r="B23" s="10">
        <f>ROUND(redflag_questions_scores!B135,2)</f>
        <v>5.87</v>
      </c>
      <c r="C23" s="3"/>
      <c r="D23" s="3"/>
      <c r="E23" s="3"/>
      <c r="F23" s="3"/>
      <c r="G23" s="3"/>
      <c r="H23" s="3"/>
      <c r="I23" s="3"/>
      <c r="J23" s="3"/>
    </row>
    <row r="24" ht="18.0" customHeight="1">
      <c r="A24" s="9" t="s">
        <v>51</v>
      </c>
      <c r="B24" s="10">
        <f>ROUND(redflag_questions_scores!B136,2)</f>
        <v>5.86</v>
      </c>
      <c r="C24" s="3"/>
      <c r="D24" s="3"/>
      <c r="E24" s="3"/>
      <c r="F24" s="3"/>
      <c r="G24" s="3"/>
      <c r="H24" s="3"/>
      <c r="I24" s="3"/>
      <c r="J24" s="3"/>
    </row>
    <row r="25" ht="18.0" customHeight="1">
      <c r="A25" s="9" t="s">
        <v>60</v>
      </c>
      <c r="B25" s="10">
        <f>ROUND(redflag_questions_scores!B145,2)</f>
        <v>5.83</v>
      </c>
      <c r="C25" s="3"/>
      <c r="D25" s="3"/>
      <c r="E25" s="3"/>
      <c r="F25" s="3"/>
      <c r="G25" s="3"/>
      <c r="H25" s="3"/>
      <c r="I25" s="3"/>
      <c r="J25" s="3"/>
    </row>
    <row r="26" ht="18.0" customHeight="1">
      <c r="A26" s="9" t="s">
        <v>34</v>
      </c>
      <c r="B26" s="10">
        <f>ROUND(redflag_questions_scores!B119,2)</f>
        <v>5.81</v>
      </c>
      <c r="C26" s="3"/>
      <c r="D26" s="3"/>
      <c r="E26" s="3"/>
      <c r="F26" s="3"/>
      <c r="G26" s="3"/>
      <c r="H26" s="3"/>
      <c r="I26" s="3"/>
      <c r="J26" s="3"/>
    </row>
    <row r="27" ht="18.0" customHeight="1">
      <c r="A27" s="9" t="s">
        <v>78</v>
      </c>
      <c r="B27" s="10">
        <f>ROUND(redflag_questions_scores!B163,2)</f>
        <v>5.8</v>
      </c>
      <c r="C27" s="3"/>
      <c r="D27" s="3"/>
      <c r="E27" s="3"/>
      <c r="F27" s="3"/>
      <c r="G27" s="3"/>
      <c r="H27" s="3"/>
      <c r="I27" s="3"/>
      <c r="J27" s="3"/>
    </row>
    <row r="28" ht="18.0" customHeight="1">
      <c r="A28" s="9" t="s">
        <v>29</v>
      </c>
      <c r="B28" s="10">
        <f>ROUND(redflag_questions_scores!B114,2)</f>
        <v>5.78</v>
      </c>
      <c r="C28" s="3"/>
      <c r="D28" s="3"/>
      <c r="E28" s="3"/>
      <c r="F28" s="3"/>
      <c r="G28" s="3"/>
      <c r="H28" s="3"/>
      <c r="I28" s="3"/>
      <c r="J28" s="3"/>
    </row>
    <row r="29" ht="18.0" customHeight="1">
      <c r="A29" s="9" t="s">
        <v>46</v>
      </c>
      <c r="B29" s="10">
        <f>ROUND(redflag_questions_scores!B131,2)</f>
        <v>5.73</v>
      </c>
      <c r="C29" s="3"/>
      <c r="D29" s="3"/>
      <c r="E29" s="3"/>
      <c r="F29" s="3"/>
      <c r="G29" s="3"/>
      <c r="H29" s="3"/>
      <c r="I29" s="3"/>
      <c r="J29" s="3"/>
    </row>
    <row r="30" ht="18.0" customHeight="1">
      <c r="A30" s="9" t="s">
        <v>39</v>
      </c>
      <c r="B30" s="10">
        <f>ROUND(redflag_questions_scores!B124,2)</f>
        <v>5.72</v>
      </c>
      <c r="C30" s="3"/>
      <c r="D30" s="3"/>
      <c r="E30" s="3"/>
      <c r="F30" s="3"/>
      <c r="G30" s="3"/>
      <c r="H30" s="3"/>
      <c r="I30" s="3"/>
      <c r="J30" s="3"/>
    </row>
    <row r="31" ht="18.0" customHeight="1">
      <c r="A31" s="9" t="s">
        <v>58</v>
      </c>
      <c r="B31" s="10">
        <f>ROUND(redflag_questions_scores!B143,2)</f>
        <v>5.6</v>
      </c>
      <c r="C31" s="3"/>
      <c r="D31" s="3"/>
      <c r="E31" s="3"/>
      <c r="F31" s="3"/>
      <c r="G31" s="3"/>
      <c r="H31" s="3"/>
      <c r="I31" s="3"/>
      <c r="J31" s="3"/>
    </row>
    <row r="32" ht="18.0" customHeight="1">
      <c r="A32" s="9" t="s">
        <v>73</v>
      </c>
      <c r="B32" s="10">
        <f>ROUND(redflag_questions_scores!B158,2)</f>
        <v>5.58</v>
      </c>
      <c r="C32" s="3"/>
      <c r="D32" s="3"/>
      <c r="E32" s="3"/>
      <c r="F32" s="3"/>
      <c r="G32" s="3"/>
      <c r="H32" s="3"/>
      <c r="I32" s="3"/>
      <c r="J32" s="3"/>
    </row>
    <row r="33" ht="18.0" customHeight="1">
      <c r="A33" s="9" t="s">
        <v>45</v>
      </c>
      <c r="B33" s="10">
        <f>ROUND(redflag_questions_scores!B130,2)</f>
        <v>5.56</v>
      </c>
      <c r="C33" s="3"/>
      <c r="D33" s="3"/>
      <c r="E33" s="3"/>
      <c r="F33" s="3"/>
      <c r="G33" s="3"/>
      <c r="H33" s="3"/>
      <c r="I33" s="3"/>
      <c r="J33" s="3"/>
    </row>
    <row r="34" ht="18.0" customHeight="1">
      <c r="A34" s="9" t="s">
        <v>65</v>
      </c>
      <c r="B34" s="10">
        <f>ROUND(redflag_questions_scores!B150,2)</f>
        <v>5.52</v>
      </c>
      <c r="C34" s="3"/>
      <c r="D34" s="3"/>
      <c r="E34" s="3"/>
      <c r="F34" s="3"/>
      <c r="G34" s="3"/>
      <c r="H34" s="3"/>
      <c r="I34" s="3"/>
      <c r="J34" s="3"/>
    </row>
    <row r="35" ht="18.0" customHeight="1">
      <c r="A35" s="9" t="s">
        <v>61</v>
      </c>
      <c r="B35" s="10">
        <f>ROUND(redflag_questions_scores!B146,2)</f>
        <v>5.51</v>
      </c>
      <c r="C35" s="3"/>
      <c r="D35" s="3"/>
      <c r="E35" s="3"/>
      <c r="F35" s="3"/>
      <c r="G35" s="3"/>
      <c r="H35" s="3"/>
      <c r="I35" s="3"/>
      <c r="J35" s="3"/>
    </row>
    <row r="36" ht="18.0" customHeight="1">
      <c r="A36" s="9" t="s">
        <v>54</v>
      </c>
      <c r="B36" s="10">
        <f>ROUND(redflag_questions_scores!B139,2)</f>
        <v>5.5</v>
      </c>
      <c r="C36" s="3"/>
      <c r="D36" s="3"/>
      <c r="E36" s="3"/>
      <c r="F36" s="3"/>
      <c r="G36" s="3"/>
      <c r="H36" s="3"/>
      <c r="I36" s="3"/>
      <c r="J36" s="3"/>
    </row>
    <row r="37" ht="18.0" customHeight="1">
      <c r="A37" s="9" t="s">
        <v>57</v>
      </c>
      <c r="B37" s="10">
        <f>ROUND(redflag_questions_scores!B142,2)</f>
        <v>5.41</v>
      </c>
      <c r="C37" s="3"/>
      <c r="D37" s="3"/>
      <c r="E37" s="3"/>
      <c r="F37" s="3"/>
      <c r="G37" s="3"/>
      <c r="H37" s="3"/>
      <c r="I37" s="3"/>
      <c r="J37" s="3"/>
    </row>
    <row r="38" ht="18.0" customHeight="1">
      <c r="A38" s="9" t="s">
        <v>70</v>
      </c>
      <c r="B38" s="10">
        <f>ROUND(redflag_questions_scores!B155,2)</f>
        <v>5.4</v>
      </c>
      <c r="C38" s="3"/>
      <c r="D38" s="3"/>
      <c r="E38" s="3"/>
      <c r="F38" s="3"/>
      <c r="G38" s="3"/>
      <c r="H38" s="3"/>
      <c r="I38" s="3"/>
      <c r="J38" s="3"/>
    </row>
    <row r="39" ht="18.0" customHeight="1">
      <c r="A39" s="9" t="s">
        <v>38</v>
      </c>
      <c r="B39" s="10">
        <f>ROUND(redflag_questions_scores!B123,2)</f>
        <v>5.33</v>
      </c>
      <c r="C39" s="3"/>
      <c r="D39" s="3"/>
      <c r="E39" s="3"/>
      <c r="F39" s="3"/>
      <c r="G39" s="3"/>
      <c r="H39" s="3"/>
      <c r="I39" s="3"/>
      <c r="J39" s="3"/>
    </row>
    <row r="40" ht="18.0" customHeight="1">
      <c r="A40" s="9" t="s">
        <v>81</v>
      </c>
      <c r="B40" s="10">
        <f>ROUND(redflag_questions_scores!B166,2)</f>
        <v>5.24</v>
      </c>
      <c r="C40" s="3"/>
      <c r="D40" s="3"/>
      <c r="E40" s="3"/>
      <c r="F40" s="3"/>
      <c r="G40" s="3"/>
      <c r="H40" s="3"/>
      <c r="I40" s="3"/>
      <c r="J40" s="3"/>
    </row>
    <row r="41" ht="18.0" customHeight="1">
      <c r="A41" s="9" t="s">
        <v>32</v>
      </c>
      <c r="B41" s="10">
        <f>ROUND(redflag_questions_scores!B117,2)</f>
        <v>5.12</v>
      </c>
      <c r="C41" s="3"/>
      <c r="D41" s="3"/>
      <c r="E41" s="3"/>
      <c r="F41" s="3"/>
      <c r="G41" s="3"/>
      <c r="H41" s="3"/>
      <c r="I41" s="3"/>
      <c r="J41" s="3"/>
    </row>
    <row r="42" ht="18.0" customHeight="1">
      <c r="A42" s="9" t="s">
        <v>63</v>
      </c>
      <c r="B42" s="10">
        <f>ROUND(redflag_questions_scores!B148,2)</f>
        <v>5.12</v>
      </c>
      <c r="C42" s="3"/>
      <c r="D42" s="3"/>
      <c r="E42" s="3"/>
      <c r="F42" s="3"/>
      <c r="G42" s="3"/>
      <c r="H42" s="3"/>
      <c r="I42" s="3"/>
      <c r="J42" s="3"/>
    </row>
    <row r="43" ht="18.0" customHeight="1">
      <c r="A43" s="9" t="s">
        <v>22</v>
      </c>
      <c r="B43" s="10">
        <f>ROUND(redflag_questions_scores!B107,2)</f>
        <v>5.11</v>
      </c>
      <c r="C43" s="3"/>
      <c r="D43" s="3"/>
      <c r="E43" s="3"/>
      <c r="F43" s="3"/>
      <c r="G43" s="3"/>
      <c r="H43" s="3"/>
      <c r="I43" s="3"/>
      <c r="J43" s="3"/>
    </row>
    <row r="44" ht="18.0" customHeight="1">
      <c r="A44" s="9" t="s">
        <v>36</v>
      </c>
      <c r="B44" s="10">
        <f>ROUND(redflag_questions_scores!B121,2)</f>
        <v>5.08</v>
      </c>
      <c r="C44" s="3"/>
      <c r="D44" s="3"/>
      <c r="E44" s="3"/>
      <c r="F44" s="3"/>
      <c r="G44" s="3"/>
      <c r="H44" s="3"/>
      <c r="I44" s="3"/>
      <c r="J44" s="3"/>
    </row>
    <row r="45" ht="18.0" customHeight="1">
      <c r="A45" s="9" t="s">
        <v>75</v>
      </c>
      <c r="B45" s="10">
        <f>ROUND(redflag_questions_scores!B160,2)</f>
        <v>5.04</v>
      </c>
      <c r="C45" s="3"/>
      <c r="D45" s="3"/>
      <c r="E45" s="3"/>
      <c r="F45" s="3"/>
      <c r="G45" s="3"/>
      <c r="H45" s="3"/>
      <c r="I45" s="3"/>
      <c r="J45" s="3"/>
    </row>
    <row r="46" ht="18.0" customHeight="1">
      <c r="A46" s="9" t="s">
        <v>72</v>
      </c>
      <c r="B46" s="10">
        <f>ROUND(redflag_questions_scores!B157,2)</f>
        <v>5.02</v>
      </c>
      <c r="C46" s="3"/>
      <c r="D46" s="3"/>
      <c r="E46" s="3"/>
      <c r="F46" s="3"/>
      <c r="G46" s="3"/>
      <c r="H46" s="3"/>
      <c r="I46" s="3"/>
      <c r="J46" s="3"/>
    </row>
    <row r="47" ht="18.0" customHeight="1">
      <c r="A47" s="9" t="s">
        <v>42</v>
      </c>
      <c r="B47" s="10">
        <f>ROUND(redflag_questions_scores!B127,2)</f>
        <v>4.98</v>
      </c>
      <c r="C47" s="3"/>
      <c r="D47" s="3"/>
      <c r="E47" s="3"/>
      <c r="F47" s="3"/>
      <c r="G47" s="3"/>
      <c r="H47" s="3"/>
      <c r="I47" s="3"/>
      <c r="J47" s="3"/>
    </row>
    <row r="48" ht="18.0" customHeight="1">
      <c r="A48" s="9" t="s">
        <v>31</v>
      </c>
      <c r="B48" s="10">
        <f>ROUND(redflag_questions_scores!B116,2)</f>
        <v>4.8</v>
      </c>
      <c r="C48" s="3"/>
      <c r="D48" s="3"/>
      <c r="E48" s="3"/>
      <c r="F48" s="3"/>
      <c r="G48" s="3"/>
      <c r="H48" s="3"/>
      <c r="I48" s="3"/>
      <c r="J48" s="3"/>
    </row>
    <row r="49" ht="18.0" customHeight="1">
      <c r="A49" s="9" t="s">
        <v>86</v>
      </c>
      <c r="B49" s="10">
        <f>ROUND(redflag_questions_scores!B171,2)</f>
        <v>4.79</v>
      </c>
      <c r="C49" s="3"/>
      <c r="D49" s="3"/>
      <c r="E49" s="3"/>
      <c r="F49" s="3"/>
      <c r="G49" s="3"/>
      <c r="H49" s="3"/>
      <c r="I49" s="3"/>
      <c r="J49" s="3"/>
    </row>
    <row r="50" ht="18.0" customHeight="1">
      <c r="A50" s="9" t="s">
        <v>27</v>
      </c>
      <c r="B50" s="10">
        <f>ROUND(redflag_questions_scores!B112,2)</f>
        <v>4.78</v>
      </c>
      <c r="C50" s="3"/>
      <c r="D50" s="3"/>
      <c r="E50" s="3"/>
      <c r="F50" s="3"/>
      <c r="G50" s="3"/>
      <c r="H50" s="3"/>
      <c r="I50" s="3"/>
      <c r="J50" s="3"/>
    </row>
    <row r="51" ht="18.0" customHeight="1">
      <c r="A51" s="9" t="s">
        <v>68</v>
      </c>
      <c r="B51" s="10">
        <f>ROUND(redflag_questions_scores!B153,2)</f>
        <v>4.71</v>
      </c>
      <c r="C51" s="3"/>
      <c r="D51" s="3"/>
      <c r="E51" s="3"/>
      <c r="F51" s="3"/>
      <c r="G51" s="3"/>
      <c r="H51" s="3"/>
      <c r="I51" s="3"/>
      <c r="J51" s="3"/>
    </row>
    <row r="52" ht="18.0" customHeight="1">
      <c r="A52" s="9" t="s">
        <v>67</v>
      </c>
      <c r="B52" s="10">
        <f>ROUND(redflag_questions_scores!B152,2)</f>
        <v>4.7</v>
      </c>
      <c r="C52" s="3"/>
      <c r="D52" s="3"/>
      <c r="E52" s="3"/>
      <c r="F52" s="3"/>
      <c r="G52" s="3"/>
      <c r="H52" s="3"/>
      <c r="I52" s="3"/>
      <c r="J52" s="3"/>
    </row>
    <row r="53" ht="18.0" customHeight="1">
      <c r="A53" s="9" t="s">
        <v>85</v>
      </c>
      <c r="B53" s="10">
        <f>ROUND(redflag_questions_scores!B170,2)</f>
        <v>4.6</v>
      </c>
      <c r="C53" s="3"/>
      <c r="D53" s="3"/>
      <c r="E53" s="3"/>
      <c r="F53" s="3"/>
      <c r="G53" s="3"/>
      <c r="H53" s="3"/>
      <c r="I53" s="3"/>
      <c r="J53" s="3"/>
    </row>
    <row r="54" ht="18.0" customHeight="1">
      <c r="A54" s="9" t="s">
        <v>56</v>
      </c>
      <c r="B54" s="10">
        <f>ROUND(redflag_questions_scores!B141,2)</f>
        <v>4.58</v>
      </c>
      <c r="C54" s="3"/>
      <c r="D54" s="3"/>
      <c r="E54" s="3"/>
      <c r="F54" s="3"/>
      <c r="G54" s="3"/>
      <c r="H54" s="3"/>
      <c r="I54" s="3"/>
      <c r="J54" s="3"/>
    </row>
    <row r="55" ht="18.0" customHeight="1">
      <c r="A55" s="9" t="s">
        <v>26</v>
      </c>
      <c r="B55" s="10">
        <f>ROUND(redflag_questions_scores!B111,2)</f>
        <v>4.5</v>
      </c>
      <c r="C55" s="3"/>
      <c r="D55" s="3"/>
      <c r="E55" s="3"/>
      <c r="F55" s="3"/>
      <c r="G55" s="3"/>
      <c r="H55" s="3"/>
      <c r="I55" s="3"/>
      <c r="J55" s="3"/>
    </row>
    <row r="56" ht="18.0" customHeight="1">
      <c r="A56" s="9" t="s">
        <v>37</v>
      </c>
      <c r="B56" s="10">
        <f>ROUND(redflag_questions_scores!B122,2)</f>
        <v>4.4</v>
      </c>
      <c r="C56" s="3"/>
      <c r="D56" s="3"/>
      <c r="E56" s="3"/>
      <c r="F56" s="3"/>
      <c r="G56" s="3"/>
      <c r="H56" s="3"/>
      <c r="I56" s="3"/>
      <c r="J56" s="3"/>
    </row>
    <row r="57" ht="18.0" customHeight="1">
      <c r="A57" s="9" t="s">
        <v>64</v>
      </c>
      <c r="B57" s="10">
        <f>ROUND(redflag_questions_scores!B149,2)</f>
        <v>4.39</v>
      </c>
      <c r="C57" s="3"/>
      <c r="D57" s="3"/>
      <c r="E57" s="3"/>
      <c r="F57" s="3"/>
      <c r="G57" s="3"/>
      <c r="H57" s="3"/>
      <c r="I57" s="3"/>
      <c r="J57" s="3"/>
    </row>
    <row r="58" ht="18.0" customHeight="1">
      <c r="A58" s="9" t="s">
        <v>30</v>
      </c>
      <c r="B58" s="10">
        <f>ROUND(redflag_questions_scores!B115,2)</f>
        <v>4.35</v>
      </c>
      <c r="C58" s="3"/>
      <c r="D58" s="3"/>
      <c r="E58" s="3"/>
      <c r="F58" s="3"/>
      <c r="G58" s="3"/>
      <c r="H58" s="3"/>
      <c r="I58" s="3"/>
      <c r="J58" s="3"/>
    </row>
    <row r="59" ht="18.0" customHeight="1">
      <c r="A59" s="9" t="s">
        <v>84</v>
      </c>
      <c r="B59" s="10">
        <f>ROUND(redflag_questions_scores!B169,2)</f>
        <v>4.32</v>
      </c>
      <c r="C59" s="3"/>
      <c r="D59" s="3"/>
      <c r="E59" s="3"/>
      <c r="F59" s="3"/>
      <c r="G59" s="3"/>
      <c r="H59" s="3"/>
      <c r="I59" s="3"/>
      <c r="J59" s="3"/>
    </row>
    <row r="60" ht="18.0" customHeight="1">
      <c r="A60" s="9" t="s">
        <v>23</v>
      </c>
      <c r="B60" s="10">
        <f>ROUND(redflag_questions_scores!B108,2)</f>
        <v>4.26</v>
      </c>
      <c r="C60" s="3"/>
      <c r="D60" s="3"/>
      <c r="E60" s="3"/>
      <c r="F60" s="3"/>
      <c r="G60" s="3"/>
      <c r="H60" s="3"/>
      <c r="I60" s="3"/>
      <c r="J60" s="3"/>
    </row>
    <row r="61" ht="18.0" customHeight="1">
      <c r="A61" s="9" t="s">
        <v>71</v>
      </c>
      <c r="B61" s="10">
        <f>ROUND(redflag_questions_scores!B156,2)</f>
        <v>4.25</v>
      </c>
      <c r="C61" s="3"/>
      <c r="D61" s="3"/>
      <c r="E61" s="3"/>
      <c r="F61" s="3"/>
      <c r="G61" s="3"/>
      <c r="H61" s="3"/>
      <c r="I61" s="3"/>
      <c r="J61" s="3"/>
    </row>
    <row r="62" ht="18.0" customHeight="1">
      <c r="A62" s="9" t="s">
        <v>40</v>
      </c>
      <c r="B62" s="10">
        <f>ROUND(redflag_questions_scores!B125,2)</f>
        <v>4.23</v>
      </c>
      <c r="C62" s="3"/>
      <c r="D62" s="3"/>
      <c r="E62" s="3"/>
      <c r="F62" s="3"/>
      <c r="G62" s="3"/>
      <c r="H62" s="3"/>
      <c r="I62" s="3"/>
      <c r="J62" s="3"/>
    </row>
    <row r="63" ht="18.0" customHeight="1">
      <c r="A63" s="9" t="s">
        <v>24</v>
      </c>
      <c r="B63" s="10">
        <f>ROUND(redflag_questions_scores!B109,2)</f>
        <v>4.06</v>
      </c>
      <c r="C63" s="3"/>
      <c r="D63" s="3"/>
      <c r="E63" s="3"/>
      <c r="F63" s="3"/>
      <c r="G63" s="3"/>
      <c r="H63" s="3"/>
      <c r="I63" s="3"/>
      <c r="J63" s="3"/>
    </row>
    <row r="64" ht="18.0" customHeight="1">
      <c r="A64" s="9" t="s">
        <v>33</v>
      </c>
      <c r="B64" s="10">
        <f>ROUND(redflag_questions_scores!B118,2)</f>
        <v>4.05</v>
      </c>
      <c r="C64" s="3"/>
      <c r="D64" s="3"/>
      <c r="E64" s="3"/>
      <c r="F64" s="3"/>
      <c r="G64" s="3"/>
      <c r="H64" s="3"/>
      <c r="I64" s="3"/>
      <c r="J64" s="3"/>
    </row>
    <row r="65" ht="18.0" customHeight="1">
      <c r="A65" s="9" t="s">
        <v>80</v>
      </c>
      <c r="B65" s="10">
        <f>ROUND(redflag_questions_scores!B165,2)</f>
        <v>3.97</v>
      </c>
      <c r="C65" s="3"/>
      <c r="D65" s="3"/>
      <c r="E65" s="3"/>
      <c r="F65" s="3"/>
      <c r="G65" s="3"/>
      <c r="H65" s="3"/>
      <c r="I65" s="3"/>
      <c r="J65" s="3"/>
    </row>
    <row r="66" ht="18.0" customHeight="1">
      <c r="A66" s="9" t="s">
        <v>47</v>
      </c>
      <c r="B66" s="10">
        <f>ROUND(redflag_questions_scores!B132,2)</f>
        <v>3.75</v>
      </c>
      <c r="C66" s="3"/>
      <c r="D66" s="3"/>
      <c r="E66" s="3"/>
      <c r="F66" s="3"/>
      <c r="G66" s="3"/>
      <c r="H66" s="3"/>
      <c r="I66" s="3"/>
      <c r="J66" s="3"/>
    </row>
    <row r="67" ht="18.0" customHeight="1"/>
    <row r="68" ht="18.0" customHeight="1"/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5"/>
    <col customWidth="1" min="4" max="4" width="13.88"/>
  </cols>
  <sheetData>
    <row r="1">
      <c r="A1" s="11"/>
      <c r="B1" s="12"/>
    </row>
    <row r="2">
      <c r="A2" s="11"/>
      <c r="B2" s="13"/>
    </row>
    <row r="3">
      <c r="A3" s="11"/>
      <c r="B3" s="13"/>
    </row>
    <row r="4">
      <c r="A4" s="11"/>
      <c r="B4" s="14" t="s">
        <v>88</v>
      </c>
      <c r="C4" s="15">
        <f>STDEV(redflag_questions!C2:redflag_questions!C66)</f>
        <v>1.7613642</v>
      </c>
      <c r="D4" s="15">
        <f>STDEV(redflag_questions!D2:redflag_questions!D66)</f>
        <v>2.83114546</v>
      </c>
      <c r="E4" s="15">
        <f>STDEV(redflag_questions!E2:redflag_questions!E66)</f>
        <v>2.305720311</v>
      </c>
      <c r="F4" s="15">
        <f>STDEV(redflag_questions!F2:redflag_questions!F66)</f>
        <v>2.130366527</v>
      </c>
      <c r="G4" s="15">
        <f>STDEV(redflag_questions!G2:redflag_questions!G66)</f>
        <v>1.676764283</v>
      </c>
      <c r="H4" s="15">
        <f>STDEV(redflag_questions!H2:redflag_questions!H66)</f>
        <v>2.016518325</v>
      </c>
      <c r="I4" s="15">
        <f>STDEV(redflag_questions!I2:redflag_questions!I66)</f>
        <v>2.065280759</v>
      </c>
      <c r="J4" s="15">
        <f>STDEV(redflag_questions!J2:redflag_questions!J66)</f>
        <v>2.432255205</v>
      </c>
      <c r="K4" s="15">
        <f>STDEV(redflag_questions!K2:redflag_questions!K66)</f>
        <v>2.859027538</v>
      </c>
      <c r="L4" s="15">
        <f>STDEV(redflag_questions!L2:redflag_questions!L66)</f>
        <v>2.222264957</v>
      </c>
      <c r="M4" s="15">
        <f>STDEV(redflag_questions!M2:redflag_questions!M66)</f>
        <v>2.692135984</v>
      </c>
      <c r="N4" s="15">
        <f>STDEV(redflag_questions!N2:redflag_questions!N66)</f>
        <v>1.911252107</v>
      </c>
      <c r="O4" s="15">
        <f>STDEV(redflag_questions!O2:redflag_questions!O66)</f>
        <v>2.642751334</v>
      </c>
      <c r="P4" s="15">
        <f>STDEV(redflag_questions!P2:redflag_questions!P66)</f>
        <v>2.446249091</v>
      </c>
      <c r="Q4" s="15">
        <f>STDEV(redflag_questions!Q2:redflag_questions!Q66)</f>
        <v>2.767687871</v>
      </c>
      <c r="R4" s="15">
        <f>STDEV(redflag_questions!R2:redflag_questions!R66)</f>
        <v>1.691608247</v>
      </c>
      <c r="S4" s="15">
        <f>STDEV(redflag_questions!S2:redflag_questions!S100)</f>
        <v>2.376972865</v>
      </c>
      <c r="T4" s="15">
        <f>STDEV(redflag_questions!T2:redflag_questions!T100)</f>
        <v>1.369657453</v>
      </c>
      <c r="U4" s="15">
        <f>STDEV(redflag_questions!U2:redflag_questions!U100)</f>
        <v>1.915649117</v>
      </c>
      <c r="V4" s="15">
        <f>STDEV(redflag_questions!V2:redflag_questions!V100)</f>
        <v>2.905316744</v>
      </c>
      <c r="W4" s="15">
        <f>STDEV(redflag_questions!W2:redflag_questions!W100)</f>
        <v>2.2773973</v>
      </c>
      <c r="X4" s="15">
        <f>STDEV(redflag_questions!X2:redflag_questions!X100)</f>
        <v>2.9813523</v>
      </c>
      <c r="Y4" s="15">
        <f>STDEV(redflag_questions!Y2:redflag_questions!Y100)</f>
        <v>2.316848821</v>
      </c>
      <c r="Z4" s="15">
        <f>STDEV(redflag_questions!Z2:redflag_questions!Z100)</f>
        <v>2.266817491</v>
      </c>
    </row>
    <row r="5">
      <c r="A5" s="11"/>
      <c r="B5" s="14" t="s">
        <v>89</v>
      </c>
      <c r="C5" s="15">
        <f>AVERAGE(redflag_questions!C2:redflag_questions!C66)</f>
        <v>7.738461538</v>
      </c>
      <c r="D5" s="15">
        <f>AVERAGE(redflag_questions!D2:redflag_questions!D66)</f>
        <v>7.015384615</v>
      </c>
      <c r="E5" s="15">
        <f>AVERAGE(redflag_questions!E2:redflag_questions!E66)</f>
        <v>7.107692308</v>
      </c>
      <c r="F5" s="15">
        <f>AVERAGE(redflag_questions!F2:redflag_questions!F66)</f>
        <v>5.153846154</v>
      </c>
      <c r="G5" s="15">
        <f>AVERAGE(redflag_questions!G2:redflag_questions!G66)</f>
        <v>6.969230769</v>
      </c>
      <c r="H5" s="15">
        <f>AVERAGE(redflag_questions!H2:redflag_questions!H66)</f>
        <v>7.507692308</v>
      </c>
      <c r="I5" s="15">
        <f>AVERAGE(redflag_questions!I2:redflag_questions!I66)</f>
        <v>7.215384615</v>
      </c>
      <c r="J5" s="15">
        <f>AVERAGE(redflag_questions!J2:redflag_questions!J66)</f>
        <v>5.923076923</v>
      </c>
      <c r="K5" s="15">
        <f>AVERAGE(redflag_questions!K2:redflag_questions!K66)</f>
        <v>6.369230769</v>
      </c>
      <c r="L5" s="15">
        <f>AVERAGE(redflag_questions!L2:redflag_questions!L66)</f>
        <v>7.553846154</v>
      </c>
      <c r="M5" s="15">
        <f>AVERAGE(redflag_questions!M2:redflag_questions!M66)</f>
        <v>6.307692308</v>
      </c>
      <c r="N5" s="15">
        <f>AVERAGE(redflag_questions!N2:redflag_questions!N66)</f>
        <v>6.815384615</v>
      </c>
      <c r="O5" s="15">
        <f>AVERAGE(redflag_questions!O2:redflag_questions!O66)</f>
        <v>6.984615385</v>
      </c>
      <c r="P5" s="15">
        <f>AVERAGE(redflag_questions!P2:redflag_questions!P66)</f>
        <v>5.015384615</v>
      </c>
      <c r="Q5" s="15">
        <f>AVERAGE(redflag_questions!Q2:redflag_questions!Q66)</f>
        <v>6.507692308</v>
      </c>
      <c r="R5" s="15">
        <f>AVERAGE(redflag_questions!R2:redflag_questions!R66)</f>
        <v>7.369230769</v>
      </c>
      <c r="S5" s="15">
        <f>AVERAGE(redflag_questions!S2:redflag_questions!S100)</f>
        <v>5.6</v>
      </c>
      <c r="T5" s="15">
        <f>AVERAGE(redflag_questions!T2:redflag_questions!T100)</f>
        <v>6.753846154</v>
      </c>
      <c r="U5" s="15">
        <f>AVERAGE(redflag_questions!U2:redflag_questions!U100)</f>
        <v>5.046153846</v>
      </c>
      <c r="V5" s="15">
        <f>AVERAGE(redflag_questions!V2:redflag_questions!V100)</f>
        <v>5.676923077</v>
      </c>
      <c r="W5" s="15">
        <f>AVERAGE(redflag_questions!W2:redflag_questions!W100)</f>
        <v>7.569230769</v>
      </c>
      <c r="X5" s="15">
        <f>AVERAGE(redflag_questions!X2:redflag_questions!X100)</f>
        <v>5.353846154</v>
      </c>
      <c r="Y5" s="15">
        <f>AVERAGE(redflag_questions!Y2:redflag_questions!Y100)</f>
        <v>5.230769231</v>
      </c>
      <c r="Z5" s="15">
        <f>AVERAGE(redflag_questions!Z2:redflag_questions!Z100)</f>
        <v>6.046153846</v>
      </c>
    </row>
    <row r="6">
      <c r="A6" s="16" t="str">
        <f>redflag_questions!A1</f>
        <v>Questions</v>
      </c>
      <c r="B6" s="17" t="str">
        <f>redflag_questions!B1</f>
        <v>Weights</v>
      </c>
      <c r="C6" s="17" t="str">
        <f>redflag_questions!C1</f>
        <v>Lucas</v>
      </c>
      <c r="D6" s="17" t="str">
        <f>redflag_questions!D1</f>
        <v>Nicolaus</v>
      </c>
      <c r="E6" s="17" t="str">
        <f>redflag_questions!E1</f>
        <v>Alex</v>
      </c>
      <c r="F6" s="17" t="str">
        <f>redflag_questions!F1</f>
        <v>Alex</v>
      </c>
      <c r="G6" s="17" t="str">
        <f>redflag_questions!G1</f>
        <v>Stefan</v>
      </c>
      <c r="H6" s="17" t="str">
        <f>redflag_questions!H1</f>
        <v>Daniel</v>
      </c>
      <c r="I6" s="17" t="str">
        <f>redflag_questions!I1</f>
        <v>Johannes</v>
      </c>
      <c r="J6" s="17" t="str">
        <f>redflag_questions!J1</f>
        <v>Mathias</v>
      </c>
      <c r="K6" s="17" t="str">
        <f>redflag_questions!K1</f>
        <v>Roman</v>
      </c>
      <c r="L6" s="17" t="str">
        <f>redflag_questions!L1</f>
        <v>Ringo</v>
      </c>
      <c r="M6" s="17" t="str">
        <f>redflag_questions!M1</f>
        <v>Mathias</v>
      </c>
      <c r="N6" s="17" t="str">
        <f>redflag_questions!N1</f>
        <v>Rick</v>
      </c>
      <c r="O6" s="17" t="str">
        <f>redflag_questions!O1</f>
        <v>Benny</v>
      </c>
      <c r="P6" s="17" t="str">
        <f>redflag_questions!P1</f>
        <v>Flavio</v>
      </c>
      <c r="Q6" s="17" t="str">
        <f>redflag_questions!Q1</f>
        <v>Andreas</v>
      </c>
      <c r="R6" s="17" t="str">
        <f>redflag_questions!R1</f>
        <v>Markus</v>
      </c>
      <c r="S6" s="17" t="str">
        <f>redflag_questions!S1</f>
        <v>Stefan</v>
      </c>
      <c r="T6" s="17" t="str">
        <f>redflag_questions!T1</f>
        <v>Tobias</v>
      </c>
      <c r="U6" s="17" t="str">
        <f>redflag_questions!U1</f>
        <v>Tilo</v>
      </c>
      <c r="V6" s="17" t="str">
        <f>redflag_questions!V1</f>
        <v>Chris</v>
      </c>
      <c r="W6" s="17" t="str">
        <f>redflag_questions!W1</f>
        <v>Robin</v>
      </c>
      <c r="X6" s="17" t="str">
        <f>redflag_questions!X1</f>
        <v>Chris</v>
      </c>
      <c r="Y6" s="17" t="str">
        <f>redflag_questions!Y1</f>
        <v>Basti</v>
      </c>
      <c r="Z6" s="17" t="str">
        <f>redflag_questions!Z1</f>
        <v>Maik</v>
      </c>
      <c r="AA6" s="17" t="str">
        <f t="shared" ref="AA6:AB6" si="1">#REF!</f>
        <v>#REF!</v>
      </c>
      <c r="AB6" s="17" t="str">
        <f t="shared" si="1"/>
        <v>#REF!</v>
      </c>
    </row>
    <row r="7">
      <c r="A7" s="11" t="str">
        <f>redflag_questions!A2</f>
        <v>Sie ist zum größten Teil in ihrem Leben ohne biologischen Vater aufgewachsen.</v>
      </c>
      <c r="B7" s="18">
        <f>redflag_questions!B2</f>
        <v>5.11</v>
      </c>
      <c r="C7" s="15">
        <f>STANDARDIZE(redflag_questions!C2,C$5,C$4)</f>
        <v>-0.4192554489</v>
      </c>
      <c r="D7" s="15">
        <f>STANDARDIZE(redflag_questions!D2,D$5,D$4)</f>
        <v>-1.41828976</v>
      </c>
      <c r="E7" s="15">
        <f>STANDARDIZE(redflag_questions!E2,E$5,E$4)</f>
        <v>-0.9141144732</v>
      </c>
      <c r="F7" s="15">
        <f>STANDARDIZE(redflag_questions!F2,F$5,F$4)</f>
        <v>-1.011021403</v>
      </c>
      <c r="G7" s="15">
        <f>STANDARDIZE(redflag_questions!G2,G$5,G$4)</f>
        <v>-0.5780363877</v>
      </c>
      <c r="H7" s="15">
        <f>STANDARDIZE(redflag_questions!H2,H$5,H$4)</f>
        <v>-1.243575264</v>
      </c>
      <c r="I7" s="15">
        <f>STANDARDIZE(redflag_questions!I2,I$5,I$4)</f>
        <v>-0.104288298</v>
      </c>
      <c r="J7" s="15">
        <f>STANDARDIZE(redflag_questions!J2,J$5,J$4)</f>
        <v>0.8539083696</v>
      </c>
      <c r="K7" s="15">
        <f>STANDARDIZE(redflag_questions!K2,K$5,K$4)</f>
        <v>0.2206236989</v>
      </c>
      <c r="L7" s="15">
        <f>STANDARDIZE(redflag_questions!L2,L$5,L$4)</f>
        <v>-2.049191362</v>
      </c>
      <c r="M7" s="15">
        <f>STANDARDIZE(redflag_questions!M2,M$5,M$4)</f>
        <v>-0.8571975271</v>
      </c>
      <c r="N7" s="15">
        <f>STANDARDIZE(redflag_questions!N2,N$5,N$4)</f>
        <v>-0.9498404784</v>
      </c>
      <c r="O7" s="15">
        <f>STANDARDIZE(redflag_questions!O2,O$5,O$4)</f>
        <v>-1.129359144</v>
      </c>
      <c r="P7" s="15">
        <f>STANDARDIZE(redflag_questions!P2,P$5,P$4)</f>
        <v>-0.006289063301</v>
      </c>
      <c r="Q7" s="15">
        <f>STANDARDIZE(redflag_questions!Q2,Q$5,Q$4)</f>
        <v>-1.267372793</v>
      </c>
      <c r="R7" s="15">
        <f>STANDARDIZE(redflag_questions!R2,R$5,R$4)</f>
        <v>-0.2182720319</v>
      </c>
      <c r="S7" s="15">
        <f>STANDARDIZE(redflag_questions!S2,S$5,S$4)</f>
        <v>-1.093828221</v>
      </c>
      <c r="T7" s="15">
        <f>STANDARDIZE(redflag_questions!T2,T$5,T$4)</f>
        <v>-1.280499843</v>
      </c>
      <c r="U7" s="15">
        <f>STANDARDIZE(redflag_questions!U2,U$5,U$4)</f>
        <v>-1.068125592</v>
      </c>
      <c r="V7" s="15">
        <f>STANDARDIZE(redflag_questions!V2,V$5,V$4)</f>
        <v>-1.609780788</v>
      </c>
      <c r="W7" s="15">
        <f>STANDARDIZE(redflag_questions!W2,W$5,W$4)</f>
        <v>-2.445436626</v>
      </c>
      <c r="X7" s="15">
        <f>STANDARDIZE(redflag_questions!X2,X$5,X$4)</f>
        <v>-0.7895229804</v>
      </c>
      <c r="Y7" s="15">
        <f>STANDARDIZE(redflag_questions!Y2,Y$5,Y$4)</f>
        <v>0.7636366917</v>
      </c>
      <c r="Z7" s="15">
        <f>STANDARDIZE(redflag_questions!Z2,Z$5,Z$4)</f>
        <v>0.4207864804</v>
      </c>
      <c r="AA7" s="15" t="str">
        <f>STANDARDIZE(redflag_questions!Z2,AA$5,AA$4)</f>
        <v>#NUM!</v>
      </c>
    </row>
    <row r="8">
      <c r="A8" s="11" t="str">
        <f>redflag_questions!A3</f>
        <v>Sie hat eine schlechte Beziehung zu ihrem Vater.</v>
      </c>
      <c r="B8" s="18">
        <f>redflag_questions!B3</f>
        <v>4.26</v>
      </c>
      <c r="C8" s="15">
        <f>STANDARDIZE(redflag_questions!C3,C$5,C$4)</f>
        <v>-0.9869972026</v>
      </c>
      <c r="D8" s="15">
        <f>STANDARDIZE(redflag_questions!D3,D$5,D$4)</f>
        <v>-0.005434060384</v>
      </c>
      <c r="E8" s="15">
        <f>STANDARDIZE(redflag_questions!E3,E$5,E$4)</f>
        <v>-0.04670657892</v>
      </c>
      <c r="F8" s="15">
        <f>STANDARDIZE(redflag_questions!F3,F$5,F$4)</f>
        <v>-1.011021403</v>
      </c>
      <c r="G8" s="15">
        <f>STANDARDIZE(redflag_questions!G3,G$5,G$4)</f>
        <v>0.01835036151</v>
      </c>
      <c r="H8" s="15">
        <f>STANDARDIZE(redflag_questions!H3,H$5,H$4)</f>
        <v>-0.2517667712</v>
      </c>
      <c r="I8" s="15">
        <f>STANDARDIZE(redflag_questions!I3,I$5,I$4)</f>
        <v>-0.5884839675</v>
      </c>
      <c r="J8" s="15">
        <f>STANDARDIZE(redflag_questions!J3,J$5,J$4)</f>
        <v>-0.3795148309</v>
      </c>
      <c r="K8" s="15">
        <f>STANDARDIZE(redflag_questions!K3,K$5,K$4)</f>
        <v>-0.4789148587</v>
      </c>
      <c r="L8" s="15">
        <f>STANDARDIZE(redflag_questions!L3,L$5,L$4)</f>
        <v>-2.049191362</v>
      </c>
      <c r="M8" s="15">
        <f>STANDARDIZE(redflag_questions!M3,M$5,M$4)</f>
        <v>-1.228649789</v>
      </c>
      <c r="N8" s="15">
        <f>STANDARDIZE(redflag_questions!N3,N$5,N$4)</f>
        <v>-1.996274904</v>
      </c>
      <c r="O8" s="15">
        <f>STANDARDIZE(redflag_questions!O3,O$5,O$4)</f>
        <v>-1.507752672</v>
      </c>
      <c r="P8" s="15">
        <f>STANDARDIZE(redflag_questions!P3,P$5,P$4)</f>
        <v>-1.232656407</v>
      </c>
      <c r="Q8" s="15">
        <f>STANDARDIZE(redflag_questions!Q3,Q$5,Q$4)</f>
        <v>-1.267372793</v>
      </c>
      <c r="R8" s="15">
        <f>STANDARDIZE(redflag_questions!R3,R$5,R$4)</f>
        <v>-1.400578871</v>
      </c>
      <c r="S8" s="15">
        <f>STANDARDIZE(redflag_questions!S3,S$5,S$4)</f>
        <v>-1.093828221</v>
      </c>
      <c r="T8" s="15">
        <f>STANDARDIZE(redflag_questions!T3,T$5,T$4)</f>
        <v>-1.280499843</v>
      </c>
      <c r="U8" s="15">
        <f>STANDARDIZE(redflag_questions!U3,U$5,U$4)</f>
        <v>-0.546109325</v>
      </c>
      <c r="V8" s="15">
        <f>STANDARDIZE(redflag_questions!V3,V$5,V$4)</f>
        <v>-1.609780788</v>
      </c>
      <c r="W8" s="15">
        <f>STANDARDIZE(redflag_questions!W3,W$5,W$4)</f>
        <v>-2.006338889</v>
      </c>
      <c r="X8" s="15">
        <f>STANDARDIZE(redflag_questions!X3,X$5,X$4)</f>
        <v>0.2167317986</v>
      </c>
      <c r="Y8" s="15">
        <f>STANDARDIZE(redflag_questions!Y3,Y$5,Y$4)</f>
        <v>0.7636366917</v>
      </c>
      <c r="Z8" s="15">
        <f>STANDARDIZE(redflag_questions!Z3,Z$5,Z$4)</f>
        <v>-0.4615077527</v>
      </c>
    </row>
    <row r="9">
      <c r="A9" s="11" t="str">
        <f>redflag_questions!A4</f>
        <v>Ihre Mutter hatte in der Eltern Beziehung das Sagen und war eher dominant.</v>
      </c>
      <c r="B9" s="18">
        <f>redflag_questions!B4</f>
        <v>4.06</v>
      </c>
      <c r="C9" s="15">
        <f>STANDARDIZE(redflag_questions!C4,C$5,C$4)</f>
        <v>-1.554738956</v>
      </c>
      <c r="D9" s="15">
        <f>STANDARDIZE(redflag_questions!D4,D$5,D$4)</f>
        <v>-0.3586479853</v>
      </c>
      <c r="E9" s="15">
        <f>STANDARDIZE(redflag_questions!E4,E$5,E$4)</f>
        <v>-0.4804105261</v>
      </c>
      <c r="F9" s="15">
        <f>STANDARDIZE(redflag_questions!F4,F$5,F$4)</f>
        <v>-1.011021403</v>
      </c>
      <c r="G9" s="15">
        <f>STANDARDIZE(redflag_questions!G4,G$5,G$4)</f>
        <v>0.6147371107</v>
      </c>
      <c r="H9" s="15">
        <f>STANDARDIZE(redflag_questions!H4,H$5,H$4)</f>
        <v>-0.2517667712</v>
      </c>
      <c r="I9" s="15">
        <f>STANDARDIZE(redflag_questions!I4,I$5,I$4)</f>
        <v>-1.556875306</v>
      </c>
      <c r="J9" s="15">
        <f>STANDARDIZE(redflag_questions!J4,J$5,J$4)</f>
        <v>-0.3795148309</v>
      </c>
      <c r="K9" s="15">
        <f>STANDARDIZE(redflag_questions!K4,K$5,K$4)</f>
        <v>-1.178453416</v>
      </c>
      <c r="L9" s="15">
        <f>STANDARDIZE(redflag_questions!L4,L$5,L$4)</f>
        <v>-0.6992173229</v>
      </c>
      <c r="M9" s="15">
        <f>STANDARDIZE(redflag_questions!M4,M$5,M$4)</f>
        <v>-1.971554312</v>
      </c>
      <c r="N9" s="15">
        <f>STANDARDIZE(redflag_questions!N4,N$5,N$4)</f>
        <v>0.09659394696</v>
      </c>
      <c r="O9" s="15">
        <f>STANDARDIZE(redflag_questions!O4,O$5,O$4)</f>
        <v>0.005821438886</v>
      </c>
      <c r="P9" s="15">
        <f>STANDARDIZE(redflag_questions!P4,P$5,P$4)</f>
        <v>-0.006289063301</v>
      </c>
      <c r="Q9" s="15">
        <f>STANDARDIZE(redflag_questions!Q4,Q$5,Q$4)</f>
        <v>-1.267372793</v>
      </c>
      <c r="R9" s="15">
        <f>STANDARDIZE(redflag_questions!R4,R$5,R$4)</f>
        <v>-1.991732291</v>
      </c>
      <c r="S9" s="15">
        <f>STANDARDIZE(redflag_questions!S4,S$5,S$4)</f>
        <v>-0.6731250591</v>
      </c>
      <c r="T9" s="15">
        <f>STANDARDIZE(redflag_questions!T4,T$5,T$4)</f>
        <v>-1.280499843</v>
      </c>
      <c r="U9" s="15">
        <f>STANDARDIZE(redflag_questions!U4,U$5,U$4)</f>
        <v>-1.590141858</v>
      </c>
      <c r="V9" s="15">
        <f>STANDARDIZE(redflag_questions!V4,V$5,V$4)</f>
        <v>-1.609780788</v>
      </c>
      <c r="W9" s="15">
        <f>STANDARDIZE(redflag_questions!W4,W$5,W$4)</f>
        <v>-2.006338889</v>
      </c>
      <c r="X9" s="15">
        <f>STANDARDIZE(redflag_questions!X4,X$5,X$4)</f>
        <v>-1.12494124</v>
      </c>
      <c r="Y9" s="15">
        <f>STANDARDIZE(redflag_questions!Y4,Y$5,Y$4)</f>
        <v>-0.9628462635</v>
      </c>
      <c r="Z9" s="15">
        <f>STANDARDIZE(redflag_questions!Z4,Z$5,Z$4)</f>
        <v>-1.343801986</v>
      </c>
    </row>
    <row r="10">
      <c r="A10" s="11" t="str">
        <f>redflag_questions!A5</f>
        <v>Sie ist eine Feministin und gibt Männer die Schuld an der Unterdrückung der Frauen.</v>
      </c>
      <c r="B10" s="18">
        <f>redflag_questions!B5</f>
        <v>6.13</v>
      </c>
      <c r="C10" s="15">
        <f>STANDARDIZE(redflag_questions!C5,C$5,C$4)</f>
        <v>0.1484863048</v>
      </c>
      <c r="D10" s="15">
        <f>STANDARDIZE(redflag_questions!D5,D$5,D$4)</f>
        <v>1.054207714</v>
      </c>
      <c r="E10" s="15">
        <f>STANDARDIZE(redflag_questions!E5,E$5,E$4)</f>
        <v>1.254405262</v>
      </c>
      <c r="F10" s="15">
        <f>STANDARDIZE(redflag_questions!F5,F$5,F$4)</f>
        <v>-0.07221581447</v>
      </c>
      <c r="G10" s="15">
        <f>STANDARDIZE(redflag_questions!G5,G$5,G$4)</f>
        <v>1.807510609</v>
      </c>
      <c r="H10" s="15">
        <f>STANDARDIZE(redflag_questions!H5,H$5,H$4)</f>
        <v>0.7400417214</v>
      </c>
      <c r="I10" s="15">
        <f>STANDARDIZE(redflag_questions!I5,I$5,I$4)</f>
        <v>1.34829871</v>
      </c>
      <c r="J10" s="15">
        <f>STANDARDIZE(redflag_questions!J5,J$5,J$4)</f>
        <v>1.676190503</v>
      </c>
      <c r="K10" s="15">
        <f>STANDARDIZE(redflag_questions!K5,K$5,K$4)</f>
        <v>-0.4789148587</v>
      </c>
      <c r="L10" s="15">
        <f>STANDARDIZE(redflag_questions!L5,L$5,L$4)</f>
        <v>1.100748063</v>
      </c>
      <c r="M10" s="15">
        <f>STANDARDIZE(redflag_questions!M5,M$5,M$4)</f>
        <v>0.2571592581</v>
      </c>
      <c r="N10" s="15">
        <f>STANDARDIZE(redflag_questions!N5,N$5,N$4)</f>
        <v>1.143028372</v>
      </c>
      <c r="O10" s="15">
        <f>STANDARDIZE(redflag_questions!O5,O$5,O$4)</f>
        <v>1.141002022</v>
      </c>
      <c r="P10" s="15">
        <f>STANDARDIZE(redflag_questions!P5,P$5,P$4)</f>
        <v>-0.4150781779</v>
      </c>
      <c r="Q10" s="15">
        <f>STANDARDIZE(redflag_questions!Q5,Q$5,Q$4)</f>
        <v>0.9005017213</v>
      </c>
      <c r="R10" s="15">
        <f>STANDARDIZE(redflag_questions!R5,R$5,R$4)</f>
        <v>-1.400578871</v>
      </c>
      <c r="S10" s="15">
        <f>STANDARDIZE(redflag_questions!S5,S$5,S$4)</f>
        <v>0.5889844267</v>
      </c>
      <c r="T10" s="15">
        <f>STANDARDIZE(redflag_questions!T5,T$5,T$4)</f>
        <v>0.1797192762</v>
      </c>
      <c r="U10" s="15">
        <f>STANDARDIZE(redflag_questions!U5,U$5,U$4)</f>
        <v>1.019939475</v>
      </c>
      <c r="V10" s="15">
        <f>STANDARDIZE(redflag_questions!V5,V$5,V$4)</f>
        <v>-0.5771911377</v>
      </c>
      <c r="W10" s="15">
        <f>STANDARDIZE(redflag_questions!W5,W$5,W$4)</f>
        <v>0.628247531</v>
      </c>
      <c r="X10" s="15">
        <f>STANDARDIZE(redflag_questions!X5,X$5,X$4)</f>
        <v>-1.4603595</v>
      </c>
      <c r="Y10" s="15">
        <f>STANDARDIZE(redflag_questions!Y5,Y$5,Y$4)</f>
        <v>-1.826087741</v>
      </c>
      <c r="Z10" s="15">
        <f>STANDARDIZE(redflag_questions!Z5,Z$5,Z$4)</f>
        <v>0.861933597</v>
      </c>
    </row>
    <row r="11">
      <c r="A11" s="11" t="str">
        <f>redflag_questions!A6</f>
        <v>Sie ist eine Single Mutter die sich freiwillig von ihrem Mann getrennt hat.</v>
      </c>
      <c r="B11" s="18">
        <f>redflag_questions!B6</f>
        <v>4.5</v>
      </c>
      <c r="C11" s="15">
        <f>STANDARDIZE(redflag_questions!C6,C$5,C$4)</f>
        <v>-1.554738956</v>
      </c>
      <c r="D11" s="15">
        <f>STANDARDIZE(redflag_questions!D6,D$5,D$4)</f>
        <v>1.054207714</v>
      </c>
      <c r="E11" s="15">
        <f>STANDARDIZE(redflag_questions!E6,E$5,E$4)</f>
        <v>-0.4804105261</v>
      </c>
      <c r="F11" s="15">
        <f>STANDARDIZE(redflag_questions!F6,F$5,F$4)</f>
        <v>-1.480424197</v>
      </c>
      <c r="G11" s="15">
        <f>STANDARDIZE(redflag_questions!G6,G$5,G$4)</f>
        <v>0.01835036151</v>
      </c>
      <c r="H11" s="15">
        <f>STANDARDIZE(redflag_questions!H6,H$5,H$4)</f>
        <v>-2.731288003</v>
      </c>
      <c r="I11" s="15">
        <f>STANDARDIZE(redflag_questions!I6,I$5,I$4)</f>
        <v>-2.525266645</v>
      </c>
      <c r="J11" s="15">
        <f>STANDARDIZE(redflag_questions!J6,J$5,J$4)</f>
        <v>1.676190503</v>
      </c>
      <c r="K11" s="15">
        <f>STANDARDIZE(redflag_questions!K6,K$5,K$4)</f>
        <v>-1.178453416</v>
      </c>
      <c r="L11" s="15">
        <f>STANDARDIZE(redflag_questions!L6,L$5,L$4)</f>
        <v>-1.599200016</v>
      </c>
      <c r="M11" s="15">
        <f>STANDARDIZE(redflag_questions!M6,M$5,M$4)</f>
        <v>-0.8571975271</v>
      </c>
      <c r="N11" s="15">
        <f>STANDARDIZE(redflag_questions!N6,N$5,N$4)</f>
        <v>-0.4266232657</v>
      </c>
      <c r="O11" s="15">
        <f>STANDARDIZE(redflag_questions!O6,O$5,O$4)</f>
        <v>-1.886146199</v>
      </c>
      <c r="P11" s="15">
        <f>STANDARDIZE(redflag_questions!P6,P$5,P$4)</f>
        <v>-1.232656407</v>
      </c>
      <c r="Q11" s="15">
        <f>STANDARDIZE(redflag_questions!Q6,Q$5,Q$4)</f>
        <v>-0.5447479549</v>
      </c>
      <c r="R11" s="15">
        <f>STANDARDIZE(redflag_questions!R6,R$5,R$4)</f>
        <v>-1.991732291</v>
      </c>
      <c r="S11" s="15">
        <f>STANDARDIZE(redflag_questions!S6,S$5,S$4)</f>
        <v>1.43039075</v>
      </c>
      <c r="T11" s="15">
        <f>STANDARDIZE(redflag_questions!T6,T$5,T$4)</f>
        <v>-0.5503902835</v>
      </c>
      <c r="U11" s="15">
        <f>STANDARDIZE(redflag_questions!U6,U$5,U$4)</f>
        <v>-1.068125592</v>
      </c>
      <c r="V11" s="15">
        <f>STANDARDIZE(redflag_questions!V6,V$5,V$4)</f>
        <v>0.4553985123</v>
      </c>
      <c r="W11" s="15">
        <f>STANDARDIZE(redflag_questions!W6,W$5,W$4)</f>
        <v>-0.6890456792</v>
      </c>
      <c r="X11" s="15">
        <f>STANDARDIZE(redflag_questions!X6,X$5,X$4)</f>
        <v>-0.7895229804</v>
      </c>
      <c r="Y11" s="15">
        <f>STANDARDIZE(redflag_questions!Y6,Y$5,Y$4)</f>
        <v>-0.09960478588</v>
      </c>
      <c r="Z11" s="15">
        <f>STANDARDIZE(redflag_questions!Z6,Z$5,Z$4)</f>
        <v>-0.9026548693</v>
      </c>
    </row>
    <row r="12">
      <c r="A12" s="11" t="str">
        <f>redflag_questions!A7</f>
        <v>Sie ist deutlich älter als du mindestens.5 Jahre oder mehr.</v>
      </c>
      <c r="B12" s="18">
        <f>redflag_questions!B7</f>
        <v>4.78</v>
      </c>
      <c r="C12" s="15">
        <f>STANDARDIZE(redflag_questions!C7,C$5,C$4)</f>
        <v>0.1484863048</v>
      </c>
      <c r="D12" s="15">
        <f>STANDARDIZE(redflag_questions!D7,D$5,D$4)</f>
        <v>0.3477798646</v>
      </c>
      <c r="E12" s="15">
        <f>STANDARDIZE(redflag_questions!E7,E$5,E$4)</f>
        <v>-2.648930262</v>
      </c>
      <c r="F12" s="15">
        <f>STANDARDIZE(redflag_questions!F7,F$5,F$4)</f>
        <v>-1.011021403</v>
      </c>
      <c r="G12" s="15">
        <f>STANDARDIZE(redflag_questions!G7,G$5,G$4)</f>
        <v>-0.5780363877</v>
      </c>
      <c r="H12" s="15">
        <f>STANDARDIZE(redflag_questions!H7,H$5,H$4)</f>
        <v>-1.243575264</v>
      </c>
      <c r="I12" s="15">
        <f>STANDARDIZE(redflag_questions!I7,I$5,I$4)</f>
        <v>0.3799073714</v>
      </c>
      <c r="J12" s="15">
        <f>STANDARDIZE(redflag_questions!J7,J$5,J$4)</f>
        <v>-1.201796965</v>
      </c>
      <c r="K12" s="15">
        <f>STANDARDIZE(redflag_questions!K7,K$5,K$4)</f>
        <v>0.9201622566</v>
      </c>
      <c r="L12" s="15">
        <f>STANDARDIZE(redflag_questions!L7,L$5,L$4)</f>
        <v>-1.149208669</v>
      </c>
      <c r="M12" s="15">
        <f>STANDARDIZE(redflag_questions!M7,M$5,M$4)</f>
        <v>-0.4857452654</v>
      </c>
      <c r="N12" s="15">
        <f>STANDARDIZE(redflag_questions!N7,N$5,N$4)</f>
        <v>-2.519492116</v>
      </c>
      <c r="O12" s="15">
        <f>STANDARDIZE(redflag_questions!O7,O$5,O$4)</f>
        <v>-1.507752672</v>
      </c>
      <c r="P12" s="15">
        <f>STANDARDIZE(redflag_questions!P7,P$5,P$4)</f>
        <v>-1.232656407</v>
      </c>
      <c r="Q12" s="15">
        <f>STANDARDIZE(redflag_questions!Q7,Q$5,Q$4)</f>
        <v>-0.9060603739</v>
      </c>
      <c r="R12" s="15">
        <f>STANDARDIZE(redflag_questions!R7,R$5,R$4)</f>
        <v>-1.991732291</v>
      </c>
      <c r="S12" s="15">
        <f>STANDARDIZE(redflag_questions!S7,S$5,S$4)</f>
        <v>1.43039075</v>
      </c>
      <c r="T12" s="15">
        <f>STANDARDIZE(redflag_questions!T7,T$5,T$4)</f>
        <v>0.1797192762</v>
      </c>
      <c r="U12" s="15">
        <f>STANDARDIZE(redflag_questions!U7,U$5,U$4)</f>
        <v>1.541955741</v>
      </c>
      <c r="V12" s="15">
        <f>STANDARDIZE(redflag_questions!V7,V$5,V$4)</f>
        <v>0.4553985123</v>
      </c>
      <c r="W12" s="15">
        <f>STANDARDIZE(redflag_questions!W7,W$5,W$4)</f>
        <v>-0.6890456792</v>
      </c>
      <c r="X12" s="15">
        <f>STANDARDIZE(redflag_questions!X7,X$5,X$4)</f>
        <v>-1.4603595</v>
      </c>
      <c r="Y12" s="15">
        <f>STANDARDIZE(redflag_questions!Y7,Y$5,Y$4)</f>
        <v>-0.5312255247</v>
      </c>
      <c r="Z12" s="15">
        <f>STANDARDIZE(redflag_questions!Z7,Z$5,Z$4)</f>
        <v>-1.784949102</v>
      </c>
    </row>
    <row r="13">
      <c r="A13" s="11" t="str">
        <f>redflag_questions!A8</f>
        <v>Sie ist eine einfach oder mehrfach geschiedene Frau.</v>
      </c>
      <c r="B13" s="18">
        <f>redflag_questions!B8</f>
        <v>6.43</v>
      </c>
      <c r="C13" s="15">
        <f>STANDARDIZE(redflag_questions!C8,C$5,C$4)</f>
        <v>0.7162280585</v>
      </c>
      <c r="D13" s="15">
        <f>STANDARDIZE(redflag_questions!D8,D$5,D$4)</f>
        <v>1.054207714</v>
      </c>
      <c r="E13" s="15">
        <f>STANDARDIZE(redflag_questions!E8,E$5,E$4)</f>
        <v>0.3869973682</v>
      </c>
      <c r="F13" s="15">
        <f>STANDARDIZE(redflag_questions!F8,F$5,F$4)</f>
        <v>-0.07221581447</v>
      </c>
      <c r="G13" s="15">
        <f>STANDARDIZE(redflag_questions!G8,G$5,G$4)</f>
        <v>-0.5780363877</v>
      </c>
      <c r="H13" s="15">
        <f>STANDARDIZE(redflag_questions!H8,H$5,H$4)</f>
        <v>-2.235383756</v>
      </c>
      <c r="I13" s="15">
        <f>STANDARDIZE(redflag_questions!I8,I$5,I$4)</f>
        <v>-0.104288298</v>
      </c>
      <c r="J13" s="15">
        <f>STANDARDIZE(redflag_questions!J8,J$5,J$4)</f>
        <v>-0.3795148309</v>
      </c>
      <c r="K13" s="15">
        <f>STANDARDIZE(redflag_questions!K8,K$5,K$4)</f>
        <v>0.5703929778</v>
      </c>
      <c r="L13" s="15">
        <f>STANDARDIZE(redflag_questions!L8,L$5,L$4)</f>
        <v>-1.149208669</v>
      </c>
      <c r="M13" s="15">
        <f>STANDARDIZE(redflag_questions!M8,M$5,M$4)</f>
        <v>0.2571592581</v>
      </c>
      <c r="N13" s="15">
        <f>STANDARDIZE(redflag_questions!N8,N$5,N$4)</f>
        <v>0.6198111596</v>
      </c>
      <c r="O13" s="15">
        <f>STANDARDIZE(redflag_questions!O8,O$5,O$4)</f>
        <v>-1.129359144</v>
      </c>
      <c r="P13" s="15">
        <f>STANDARDIZE(redflag_questions!P8,P$5,P$4)</f>
        <v>1.22007828</v>
      </c>
      <c r="Q13" s="15">
        <f>STANDARDIZE(redflag_questions!Q8,Q$5,Q$4)</f>
        <v>-0.1834355358</v>
      </c>
      <c r="R13" s="15">
        <f>STANDARDIZE(redflag_questions!R8,R$5,R$4)</f>
        <v>-0.2182720319</v>
      </c>
      <c r="S13" s="15">
        <f>STANDARDIZE(redflag_questions!S8,S$5,S$4)</f>
        <v>-0.2524218971</v>
      </c>
      <c r="T13" s="15">
        <f>STANDARDIZE(redflag_questions!T8,T$5,T$4)</f>
        <v>0.1797192762</v>
      </c>
      <c r="U13" s="15">
        <f>STANDARDIZE(redflag_questions!U8,U$5,U$4)</f>
        <v>0.4979232081</v>
      </c>
      <c r="V13" s="15">
        <f>STANDARDIZE(redflag_questions!V8,V$5,V$4)</f>
        <v>0.7995950623</v>
      </c>
      <c r="W13" s="15">
        <f>STANDARDIZE(redflag_questions!W8,W$5,W$4)</f>
        <v>-1.128143416</v>
      </c>
      <c r="X13" s="15">
        <f>STANDARDIZE(redflag_questions!X8,X$5,X$4)</f>
        <v>0.8875683179</v>
      </c>
      <c r="Y13" s="15">
        <f>STANDARDIZE(redflag_questions!Y8,Y$5,Y$4)</f>
        <v>-0.5312255247</v>
      </c>
      <c r="Z13" s="15">
        <f>STANDARDIZE(redflag_questions!Z8,Z$5,Z$4)</f>
        <v>0.4207864804</v>
      </c>
    </row>
    <row r="14">
      <c r="A14" s="11" t="str">
        <f>redflag_questions!A9</f>
        <v>Sie hat einen hohen Bodycount (Anzahl der Personen mit denen Sie Sex hatte). So kannst du einen normalen BodyCount berechnen: (Alter - 18) x 1.3 = BodyCount</v>
      </c>
      <c r="B14" s="18">
        <f>redflag_questions!B9</f>
        <v>5.78</v>
      </c>
      <c r="C14" s="15">
        <f>STANDARDIZE(redflag_questions!C9,C$5,C$4)</f>
        <v>0.7162280585</v>
      </c>
      <c r="D14" s="15">
        <f>STANDARDIZE(redflag_questions!D9,D$5,D$4)</f>
        <v>1.054207714</v>
      </c>
      <c r="E14" s="15">
        <f>STANDARDIZE(redflag_questions!E9,E$5,E$4)</f>
        <v>0.3869973682</v>
      </c>
      <c r="F14" s="15">
        <f>STANDARDIZE(redflag_questions!F9,F$5,F$4)</f>
        <v>-0.07221581447</v>
      </c>
      <c r="G14" s="15">
        <f>STANDARDIZE(redflag_questions!G9,G$5,G$4)</f>
        <v>-1.770809886</v>
      </c>
      <c r="H14" s="15">
        <f>STANDARDIZE(redflag_questions!H9,H$5,H$4)</f>
        <v>0.7400417214</v>
      </c>
      <c r="I14" s="15">
        <f>STANDARDIZE(redflag_questions!I9,I$5,I$4)</f>
        <v>0.3799073714</v>
      </c>
      <c r="J14" s="15">
        <f>STANDARDIZE(redflag_questions!J9,J$5,J$4)</f>
        <v>0.4427673027</v>
      </c>
      <c r="K14" s="15">
        <f>STANDARDIZE(redflag_questions!K9,K$5,K$4)</f>
        <v>-1.178453416</v>
      </c>
      <c r="L14" s="15">
        <f>STANDARDIZE(redflag_questions!L9,L$5,L$4)</f>
        <v>-0.2492259765</v>
      </c>
      <c r="M14" s="15">
        <f>STANDARDIZE(redflag_questions!M9,M$5,M$4)</f>
        <v>-0.4857452654</v>
      </c>
      <c r="N14" s="15">
        <f>STANDARDIZE(redflag_questions!N9,N$5,N$4)</f>
        <v>0.6198111596</v>
      </c>
      <c r="O14" s="15">
        <f>STANDARDIZE(redflag_questions!O9,O$5,O$4)</f>
        <v>-0.3725720887</v>
      </c>
      <c r="P14" s="15">
        <f>STANDARDIZE(redflag_questions!P9,P$5,P$4)</f>
        <v>1.22007828</v>
      </c>
      <c r="Q14" s="15">
        <f>STANDARDIZE(redflag_questions!Q9,Q$5,Q$4)</f>
        <v>-0.9060603739</v>
      </c>
      <c r="R14" s="15">
        <f>STANDARDIZE(redflag_questions!R9,R$5,R$4)</f>
        <v>0.3728813878</v>
      </c>
      <c r="S14" s="15">
        <f>STANDARDIZE(redflag_questions!S9,S$5,S$4)</f>
        <v>-0.6731250591</v>
      </c>
      <c r="T14" s="15">
        <f>STANDARDIZE(redflag_questions!T9,T$5,T$4)</f>
        <v>0.1797192762</v>
      </c>
      <c r="U14" s="15">
        <f>STANDARDIZE(redflag_questions!U9,U$5,U$4)</f>
        <v>-0.02409305846</v>
      </c>
      <c r="V14" s="15">
        <f>STANDARDIZE(redflag_questions!V9,V$5,V$4)</f>
        <v>-1.609780788</v>
      </c>
      <c r="W14" s="15">
        <f>STANDARDIZE(redflag_questions!W9,W$5,W$4)</f>
        <v>0.1891497943</v>
      </c>
      <c r="X14" s="15">
        <f>STANDARDIZE(redflag_questions!X9,X$5,X$4)</f>
        <v>0.5521500582</v>
      </c>
      <c r="Y14" s="15">
        <f>STANDARDIZE(redflag_questions!Y9,Y$5,Y$4)</f>
        <v>-0.9628462635</v>
      </c>
      <c r="Z14" s="15">
        <f>STANDARDIZE(redflag_questions!Z9,Z$5,Z$4)</f>
        <v>0.4207864804</v>
      </c>
    </row>
    <row r="15">
      <c r="A15" s="11" t="str">
        <f>redflag_questions!A10</f>
        <v>Sie war sehr jung (zwischen 12-16 Jahre) als Sie ihr erstes mal Sex hatte.</v>
      </c>
      <c r="B15" s="18">
        <f>redflag_questions!B10</f>
        <v>4.35</v>
      </c>
      <c r="C15" s="15">
        <f>STANDARDIZE(redflag_questions!C10,C$5,C$4)</f>
        <v>1.283969812</v>
      </c>
      <c r="D15" s="15">
        <f>STANDARDIZE(redflag_questions!D10,D$5,D$4)</f>
        <v>1.054207714</v>
      </c>
      <c r="E15" s="15">
        <f>STANDARDIZE(redflag_questions!E10,E$5,E$4)</f>
        <v>0.8207013154</v>
      </c>
      <c r="F15" s="15">
        <f>STANDARDIZE(redflag_questions!F10,F$5,F$4)</f>
        <v>-1.480424197</v>
      </c>
      <c r="G15" s="15">
        <f>STANDARDIZE(redflag_questions!G10,G$5,G$4)</f>
        <v>-1.770809886</v>
      </c>
      <c r="H15" s="15">
        <f>STANDARDIZE(redflag_questions!H10,H$5,H$4)</f>
        <v>1.235945968</v>
      </c>
      <c r="I15" s="15">
        <f>STANDARDIZE(redflag_questions!I10,I$5,I$4)</f>
        <v>-1.072679637</v>
      </c>
      <c r="J15" s="15">
        <f>STANDARDIZE(redflag_questions!J10,J$5,J$4)</f>
        <v>0.03162623591</v>
      </c>
      <c r="K15" s="15">
        <f>STANDARDIZE(redflag_questions!K10,K$5,K$4)</f>
        <v>-1.528222695</v>
      </c>
      <c r="L15" s="15">
        <f>STANDARDIZE(redflag_questions!L10,L$5,L$4)</f>
        <v>-1.599200016</v>
      </c>
      <c r="M15" s="15">
        <f>STANDARDIZE(redflag_questions!M10,M$5,M$4)</f>
        <v>-1.228649789</v>
      </c>
      <c r="N15" s="15">
        <f>STANDARDIZE(redflag_questions!N10,N$5,N$4)</f>
        <v>-0.4266232657</v>
      </c>
      <c r="O15" s="15">
        <f>STANDARDIZE(redflag_questions!O10,O$5,O$4)</f>
        <v>-1.507752672</v>
      </c>
      <c r="P15" s="15">
        <f>STANDARDIZE(redflag_questions!P10,P$5,P$4)</f>
        <v>-1.232656407</v>
      </c>
      <c r="Q15" s="15">
        <f>STANDARDIZE(redflag_questions!Q10,Q$5,Q$4)</f>
        <v>-1.989997631</v>
      </c>
      <c r="R15" s="15">
        <f>STANDARDIZE(redflag_questions!R10,R$5,R$4)</f>
        <v>-1.400578871</v>
      </c>
      <c r="S15" s="15">
        <f>STANDARDIZE(redflag_questions!S10,S$5,S$4)</f>
        <v>-1.935234545</v>
      </c>
      <c r="T15" s="15">
        <f>STANDARDIZE(redflag_questions!T10,T$5,T$4)</f>
        <v>-2.010609403</v>
      </c>
      <c r="U15" s="15">
        <f>STANDARDIZE(redflag_questions!U10,U$5,U$4)</f>
        <v>-0.546109325</v>
      </c>
      <c r="V15" s="15">
        <f>STANDARDIZE(redflag_questions!V10,V$5,V$4)</f>
        <v>-1.609780788</v>
      </c>
      <c r="W15" s="15">
        <f>STANDARDIZE(redflag_questions!W10,W$5,W$4)</f>
        <v>-2.445436626</v>
      </c>
      <c r="X15" s="15">
        <f>STANDARDIZE(redflag_questions!X10,X$5,X$4)</f>
        <v>-0.7895229804</v>
      </c>
      <c r="Y15" s="15">
        <f>STANDARDIZE(redflag_questions!Y10,Y$5,Y$4)</f>
        <v>0.3320159529</v>
      </c>
      <c r="Z15" s="15">
        <f>STANDARDIZE(redflag_questions!Z10,Z$5,Z$4)</f>
        <v>-0.4615077527</v>
      </c>
    </row>
    <row r="16">
      <c r="A16" s="11" t="str">
        <f>redflag_questions!A11</f>
        <v>Die meisten und besten Ihrer Freundinnen sind Party Girls.</v>
      </c>
      <c r="B16" s="18">
        <f>redflag_questions!B11</f>
        <v>4.8</v>
      </c>
      <c r="C16" s="15">
        <f>STANDARDIZE(redflag_questions!C11,C$5,C$4)</f>
        <v>0.7162280585</v>
      </c>
      <c r="D16" s="15">
        <f>STANDARDIZE(redflag_questions!D11,D$5,D$4)</f>
        <v>0.3477798646</v>
      </c>
      <c r="E16" s="15">
        <f>STANDARDIZE(redflag_questions!E11,E$5,E$4)</f>
        <v>-0.4804105261</v>
      </c>
      <c r="F16" s="15">
        <f>STANDARDIZE(redflag_questions!F11,F$5,F$4)</f>
        <v>-1.011021403</v>
      </c>
      <c r="G16" s="15">
        <f>STANDARDIZE(redflag_questions!G11,G$5,G$4)</f>
        <v>-1.770809886</v>
      </c>
      <c r="H16" s="15">
        <f>STANDARDIZE(redflag_questions!H11,H$5,H$4)</f>
        <v>-1.243575264</v>
      </c>
      <c r="I16" s="15">
        <f>STANDARDIZE(redflag_questions!I11,I$5,I$4)</f>
        <v>-2.041070976</v>
      </c>
      <c r="J16" s="15">
        <f>STANDARDIZE(redflag_questions!J11,J$5,J$4)</f>
        <v>-0.3795148309</v>
      </c>
      <c r="K16" s="15">
        <f>STANDARDIZE(redflag_questions!K11,K$5,K$4)</f>
        <v>-1.528222695</v>
      </c>
      <c r="L16" s="15">
        <f>STANDARDIZE(redflag_questions!L11,L$5,L$4)</f>
        <v>0.2007653699</v>
      </c>
      <c r="M16" s="15">
        <f>STANDARDIZE(redflag_questions!M11,M$5,M$4)</f>
        <v>-0.8571975271</v>
      </c>
      <c r="N16" s="15">
        <f>STANDARDIZE(redflag_questions!N11,N$5,N$4)</f>
        <v>0.6198111596</v>
      </c>
      <c r="O16" s="15">
        <f>STANDARDIZE(redflag_questions!O11,O$5,O$4)</f>
        <v>-0.3725720887</v>
      </c>
      <c r="P16" s="15">
        <f>STANDARDIZE(redflag_questions!P11,P$5,P$4)</f>
        <v>-1.641445522</v>
      </c>
      <c r="Q16" s="15">
        <f>STANDARDIZE(redflag_questions!Q11,Q$5,Q$4)</f>
        <v>-0.5447479549</v>
      </c>
      <c r="R16" s="15">
        <f>STANDARDIZE(redflag_questions!R11,R$5,R$4)</f>
        <v>-0.2182720319</v>
      </c>
      <c r="S16" s="15">
        <f>STANDARDIZE(redflag_questions!S11,S$5,S$4)</f>
        <v>0.1682812648</v>
      </c>
      <c r="T16" s="15">
        <f>STANDARDIZE(redflag_questions!T11,T$5,T$4)</f>
        <v>-2.010609403</v>
      </c>
      <c r="U16" s="15">
        <f>STANDARDIZE(redflag_questions!U11,U$5,U$4)</f>
        <v>1.019939475</v>
      </c>
      <c r="V16" s="15">
        <f>STANDARDIZE(redflag_questions!V11,V$5,V$4)</f>
        <v>-1.265584238</v>
      </c>
      <c r="W16" s="15">
        <f>STANDARDIZE(redflag_questions!W11,W$5,W$4)</f>
        <v>0.628247531</v>
      </c>
      <c r="X16" s="15">
        <f>STANDARDIZE(redflag_questions!X11,X$5,X$4)</f>
        <v>0.8875683179</v>
      </c>
      <c r="Y16" s="15">
        <f>STANDARDIZE(redflag_questions!Y11,Y$5,Y$4)</f>
        <v>-0.9628462635</v>
      </c>
      <c r="Z16" s="15">
        <f>STANDARDIZE(redflag_questions!Z11,Z$5,Z$4)</f>
        <v>1.303080714</v>
      </c>
    </row>
    <row r="17">
      <c r="A17" s="11" t="str">
        <f>redflag_questions!A12</f>
        <v>Sie ist auf Social Media sehr aktiv und sucht dort Bestätigung. Sie hat auf einer Plattform über 800 Follower.</v>
      </c>
      <c r="B17" s="18">
        <f>redflag_questions!B12</f>
        <v>5.12</v>
      </c>
      <c r="C17" s="15">
        <f>STANDARDIZE(redflag_questions!C12,C$5,C$4)</f>
        <v>-0.9869972026</v>
      </c>
      <c r="D17" s="15">
        <f>STANDARDIZE(redflag_questions!D12,D$5,D$4)</f>
        <v>-0.005434060384</v>
      </c>
      <c r="E17" s="15">
        <f>STANDARDIZE(redflag_questions!E12,E$5,E$4)</f>
        <v>0.3869973682</v>
      </c>
      <c r="F17" s="15">
        <f>STANDARDIZE(redflag_questions!F12,F$5,F$4)</f>
        <v>-0.07221581447</v>
      </c>
      <c r="G17" s="15">
        <f>STANDARDIZE(redflag_questions!G12,G$5,G$4)</f>
        <v>-1.174423137</v>
      </c>
      <c r="H17" s="15">
        <f>STANDARDIZE(redflag_questions!H12,H$5,H$4)</f>
        <v>-0.2517667712</v>
      </c>
      <c r="I17" s="15">
        <f>STANDARDIZE(redflag_questions!I12,I$5,I$4)</f>
        <v>0.3799073714</v>
      </c>
      <c r="J17" s="15">
        <f>STANDARDIZE(redflag_questions!J12,J$5,J$4)</f>
        <v>-0.7906558978</v>
      </c>
      <c r="K17" s="15">
        <f>STANDARDIZE(redflag_questions!K12,K$5,K$4)</f>
        <v>-1.528222695</v>
      </c>
      <c r="L17" s="15">
        <f>STANDARDIZE(redflag_questions!L12,L$5,L$4)</f>
        <v>1.100748063</v>
      </c>
      <c r="M17" s="15">
        <f>STANDARDIZE(redflag_questions!M12,M$5,M$4)</f>
        <v>0.2571592581</v>
      </c>
      <c r="N17" s="15">
        <f>STANDARDIZE(redflag_questions!N12,N$5,N$4)</f>
        <v>1.666245585</v>
      </c>
      <c r="O17" s="15">
        <f>STANDARDIZE(redflag_questions!O12,O$5,O$4)</f>
        <v>0.3842149665</v>
      </c>
      <c r="P17" s="15">
        <f>STANDARDIZE(redflag_questions!P12,P$5,P$4)</f>
        <v>1.628867395</v>
      </c>
      <c r="Q17" s="15">
        <f>STANDARDIZE(redflag_questions!Q12,Q$5,Q$4)</f>
        <v>0.5391893023</v>
      </c>
      <c r="R17" s="15">
        <f>STANDARDIZE(redflag_questions!R12,R$5,R$4)</f>
        <v>-0.8094254516</v>
      </c>
      <c r="S17" s="15">
        <f>STANDARDIZE(redflag_questions!S12,S$5,S$4)</f>
        <v>0.1682812648</v>
      </c>
      <c r="T17" s="15">
        <f>STANDARDIZE(redflag_questions!T12,T$5,T$4)</f>
        <v>0.1797192762</v>
      </c>
      <c r="U17" s="15">
        <f>STANDARDIZE(redflag_questions!U12,U$5,U$4)</f>
        <v>-0.02409305846</v>
      </c>
      <c r="V17" s="15">
        <f>STANDARDIZE(redflag_questions!V12,V$5,V$4)</f>
        <v>0.7995950623</v>
      </c>
      <c r="W17" s="15">
        <f>STANDARDIZE(redflag_questions!W12,W$5,W$4)</f>
        <v>-1.128143416</v>
      </c>
      <c r="X17" s="15">
        <f>STANDARDIZE(redflag_questions!X12,X$5,X$4)</f>
        <v>1.558404837</v>
      </c>
      <c r="Y17" s="15">
        <f>STANDARDIZE(redflag_questions!Y12,Y$5,Y$4)</f>
        <v>0.7636366917</v>
      </c>
      <c r="Z17" s="15">
        <f>STANDARDIZE(redflag_questions!Z12,Z$5,Z$4)</f>
        <v>-0.4615077527</v>
      </c>
    </row>
    <row r="18">
      <c r="A18" s="11" t="str">
        <f>redflag_questions!A13</f>
        <v>Sie hat sehr häufig ihr Smartphone bei euren Treffen in der Hand beziehungsweise legt das Handy direkt vor sich auf den Tisch.</v>
      </c>
      <c r="B18" s="18">
        <f>redflag_questions!B13</f>
        <v>4.05</v>
      </c>
      <c r="C18" s="15">
        <f>STANDARDIZE(redflag_questions!C13,C$5,C$4)</f>
        <v>-1.554738956</v>
      </c>
      <c r="D18" s="15">
        <f>STANDARDIZE(redflag_questions!D13,D$5,D$4)</f>
        <v>-1.065075835</v>
      </c>
      <c r="E18" s="15">
        <f>STANDARDIZE(redflag_questions!E13,E$5,E$4)</f>
        <v>-0.04670657892</v>
      </c>
      <c r="F18" s="15">
        <f>STANDARDIZE(redflag_questions!F13,F$5,F$4)</f>
        <v>-0.5416186085</v>
      </c>
      <c r="G18" s="15">
        <f>STANDARDIZE(redflag_questions!G13,G$5,G$4)</f>
        <v>0.6147371107</v>
      </c>
      <c r="H18" s="15">
        <f>STANDARDIZE(redflag_questions!H13,H$5,H$4)</f>
        <v>0.2441374751</v>
      </c>
      <c r="I18" s="15">
        <f>STANDARDIZE(redflag_questions!I13,I$5,I$4)</f>
        <v>-0.5884839675</v>
      </c>
      <c r="J18" s="15">
        <f>STANDARDIZE(redflag_questions!J13,J$5,J$4)</f>
        <v>-0.7906558978</v>
      </c>
      <c r="K18" s="15">
        <f>STANDARDIZE(redflag_questions!K13,K$5,K$4)</f>
        <v>-0.4789148587</v>
      </c>
      <c r="L18" s="15">
        <f>STANDARDIZE(redflag_questions!L13,L$5,L$4)</f>
        <v>-0.6992173229</v>
      </c>
      <c r="M18" s="15">
        <f>STANDARDIZE(redflag_questions!M13,M$5,M$4)</f>
        <v>-0.1142930036</v>
      </c>
      <c r="N18" s="15">
        <f>STANDARDIZE(redflag_questions!N13,N$5,N$4)</f>
        <v>-0.9498404784</v>
      </c>
      <c r="O18" s="15">
        <f>STANDARDIZE(redflag_questions!O13,O$5,O$4)</f>
        <v>0.3842149665</v>
      </c>
      <c r="P18" s="15">
        <f>STANDARDIZE(redflag_questions!P13,P$5,P$4)</f>
        <v>0.8112891659</v>
      </c>
      <c r="Q18" s="15">
        <f>STANDARDIZE(redflag_questions!Q13,Q$5,Q$4)</f>
        <v>0.1778768832</v>
      </c>
      <c r="R18" s="15">
        <f>STANDARDIZE(redflag_questions!R13,R$5,R$4)</f>
        <v>-0.2182720319</v>
      </c>
      <c r="S18" s="15">
        <f>STANDARDIZE(redflag_questions!S13,S$5,S$4)</f>
        <v>-1.093828221</v>
      </c>
      <c r="T18" s="15">
        <f>STANDARDIZE(redflag_questions!T13,T$5,T$4)</f>
        <v>0.1797192762</v>
      </c>
      <c r="U18" s="15">
        <f>STANDARDIZE(redflag_questions!U13,U$5,U$4)</f>
        <v>0.4979232081</v>
      </c>
      <c r="V18" s="15">
        <f>STANDARDIZE(redflag_questions!V13,V$5,V$4)</f>
        <v>-0.2329945877</v>
      </c>
      <c r="W18" s="15">
        <f>STANDARDIZE(redflag_questions!W13,W$5,W$4)</f>
        <v>0.1891497943</v>
      </c>
      <c r="X18" s="15">
        <f>STANDARDIZE(redflag_questions!X13,X$5,X$4)</f>
        <v>-0.7895229804</v>
      </c>
      <c r="Y18" s="15">
        <f>STANDARDIZE(redflag_questions!Y13,Y$5,Y$4)</f>
        <v>1.195257431</v>
      </c>
      <c r="Z18" s="15">
        <f>STANDARDIZE(redflag_questions!Z13,Z$5,Z$4)</f>
        <v>0.861933597</v>
      </c>
    </row>
    <row r="19">
      <c r="A19" s="11" t="str">
        <f>redflag_questions!A14</f>
        <v>Sie kann sich nicht entspannen oder einfach mal nichts tun und muss ständig aktiv sein.</v>
      </c>
      <c r="B19" s="18">
        <f>redflag_questions!B14</f>
        <v>5.81</v>
      </c>
      <c r="C19" s="15">
        <f>STANDARDIZE(redflag_questions!C14,C$5,C$4)</f>
        <v>0.1484863048</v>
      </c>
      <c r="D19" s="15">
        <f>STANDARDIZE(redflag_questions!D14,D$5,D$4)</f>
        <v>-2.12471761</v>
      </c>
      <c r="E19" s="15">
        <f>STANDARDIZE(redflag_questions!E14,E$5,E$4)</f>
        <v>0.3869973682</v>
      </c>
      <c r="F19" s="15">
        <f>STANDARDIZE(redflag_questions!F14,F$5,F$4)</f>
        <v>0.8665897736</v>
      </c>
      <c r="G19" s="15">
        <f>STANDARDIZE(redflag_questions!G14,G$5,G$4)</f>
        <v>0.6147371107</v>
      </c>
      <c r="H19" s="15">
        <f>STANDARDIZE(redflag_questions!H14,H$5,H$4)</f>
        <v>-2.235383756</v>
      </c>
      <c r="I19" s="15">
        <f>STANDARDIZE(redflag_questions!I14,I$5,I$4)</f>
        <v>-0.5884839675</v>
      </c>
      <c r="J19" s="15">
        <f>STANDARDIZE(redflag_questions!J14,J$5,J$4)</f>
        <v>0.03162623591</v>
      </c>
      <c r="K19" s="15">
        <f>STANDARDIZE(redflag_questions!K14,K$5,K$4)</f>
        <v>-1.178453416</v>
      </c>
      <c r="L19" s="15">
        <f>STANDARDIZE(redflag_questions!L14,L$5,L$4)</f>
        <v>-0.2492259765</v>
      </c>
      <c r="M19" s="15">
        <f>STANDARDIZE(redflag_questions!M14,M$5,M$4)</f>
        <v>-0.4857452654</v>
      </c>
      <c r="N19" s="15">
        <f>STANDARDIZE(redflag_questions!N14,N$5,N$4)</f>
        <v>1.143028372</v>
      </c>
      <c r="O19" s="15">
        <f>STANDARDIZE(redflag_questions!O14,O$5,O$4)</f>
        <v>0.005821438886</v>
      </c>
      <c r="P19" s="15">
        <f>STANDARDIZE(redflag_questions!P14,P$5,P$4)</f>
        <v>0.4025000513</v>
      </c>
      <c r="Q19" s="15">
        <f>STANDARDIZE(redflag_questions!Q14,Q$5,Q$4)</f>
        <v>-0.9060603739</v>
      </c>
      <c r="R19" s="15">
        <f>STANDARDIZE(redflag_questions!R14,R$5,R$4)</f>
        <v>-0.2182720319</v>
      </c>
      <c r="S19" s="15">
        <f>STANDARDIZE(redflag_questions!S14,S$5,S$4)</f>
        <v>-1.935234545</v>
      </c>
      <c r="T19" s="15">
        <f>STANDARDIZE(redflag_questions!T14,T$5,T$4)</f>
        <v>0.909828836</v>
      </c>
      <c r="U19" s="15">
        <f>STANDARDIZE(redflag_questions!U14,U$5,U$4)</f>
        <v>1.019939475</v>
      </c>
      <c r="V19" s="15">
        <f>STANDARDIZE(redflag_questions!V14,V$5,V$4)</f>
        <v>0.1112019623</v>
      </c>
      <c r="W19" s="15">
        <f>STANDARDIZE(redflag_questions!W14,W$5,W$4)</f>
        <v>1.067345268</v>
      </c>
      <c r="X19" s="15">
        <f>STANDARDIZE(redflag_questions!X14,X$5,X$4)</f>
        <v>-1.4603595</v>
      </c>
      <c r="Y19" s="15">
        <f>STANDARDIZE(redflag_questions!Y14,Y$5,Y$4)</f>
        <v>-0.5312255247</v>
      </c>
      <c r="Z19" s="15">
        <f>STANDARDIZE(redflag_questions!Z14,Z$5,Z$4)</f>
        <v>-1.343801986</v>
      </c>
    </row>
    <row r="20">
      <c r="A20" s="11" t="str">
        <f>redflag_questions!A15</f>
        <v>Sie hat einen moralisch gesehen einen schlechten Freundeskreis.</v>
      </c>
      <c r="B20" s="18">
        <f>redflag_questions!B15</f>
        <v>7.17</v>
      </c>
      <c r="C20" s="15">
        <f>STANDARDIZE(redflag_questions!C15,C$5,C$4)</f>
        <v>-0.4192554489</v>
      </c>
      <c r="D20" s="15">
        <f>STANDARDIZE(redflag_questions!D15,D$5,D$4)</f>
        <v>0.3477798646</v>
      </c>
      <c r="E20" s="15">
        <f>STANDARDIZE(redflag_questions!E15,E$5,E$4)</f>
        <v>1.254405262</v>
      </c>
      <c r="F20" s="15">
        <f>STANDARDIZE(redflag_questions!F15,F$5,F$4)</f>
        <v>0.3971869796</v>
      </c>
      <c r="G20" s="15">
        <f>STANDARDIZE(redflag_questions!G15,G$5,G$4)</f>
        <v>-1.174423137</v>
      </c>
      <c r="H20" s="15">
        <f>STANDARDIZE(redflag_questions!H15,H$5,H$4)</f>
        <v>1.235945968</v>
      </c>
      <c r="I20" s="15">
        <f>STANDARDIZE(redflag_questions!I15,I$5,I$4)</f>
        <v>-0.5884839675</v>
      </c>
      <c r="J20" s="15">
        <f>STANDARDIZE(redflag_questions!J15,J$5,J$4)</f>
        <v>0.4427673027</v>
      </c>
      <c r="K20" s="15">
        <f>STANDARDIZE(redflag_questions!K15,K$5,K$4)</f>
        <v>-0.1291455799</v>
      </c>
      <c r="L20" s="15">
        <f>STANDARDIZE(redflag_questions!L15,L$5,L$4)</f>
        <v>0.2007653699</v>
      </c>
      <c r="M20" s="15">
        <f>STANDARDIZE(redflag_questions!M15,M$5,M$4)</f>
        <v>1.000063782</v>
      </c>
      <c r="N20" s="15">
        <f>STANDARDIZE(redflag_questions!N15,N$5,N$4)</f>
        <v>0.09659394696</v>
      </c>
      <c r="O20" s="15">
        <f>STANDARDIZE(redflag_questions!O15,O$5,O$4)</f>
        <v>-1.886146199</v>
      </c>
      <c r="P20" s="15">
        <f>STANDARDIZE(redflag_questions!P15,P$5,P$4)</f>
        <v>0.8112891659</v>
      </c>
      <c r="Q20" s="15">
        <f>STANDARDIZE(redflag_questions!Q15,Q$5,Q$4)</f>
        <v>0.1778768832</v>
      </c>
      <c r="R20" s="15">
        <f>STANDARDIZE(redflag_questions!R15,R$5,R$4)</f>
        <v>0.9640348075</v>
      </c>
      <c r="S20" s="15">
        <f>STANDARDIZE(redflag_questions!S15,S$5,S$4)</f>
        <v>0.5889844267</v>
      </c>
      <c r="T20" s="15">
        <f>STANDARDIZE(redflag_questions!T15,T$5,T$4)</f>
        <v>0.1797192762</v>
      </c>
      <c r="U20" s="15">
        <f>STANDARDIZE(redflag_questions!U15,U$5,U$4)</f>
        <v>0.4979232081</v>
      </c>
      <c r="V20" s="15">
        <f>STANDARDIZE(redflag_questions!V15,V$5,V$4)</f>
        <v>1.143791612</v>
      </c>
      <c r="W20" s="15">
        <f>STANDARDIZE(redflag_questions!W15,W$5,W$4)</f>
        <v>1.067345268</v>
      </c>
      <c r="X20" s="15">
        <f>STANDARDIZE(redflag_questions!X15,X$5,X$4)</f>
        <v>0.8875683179</v>
      </c>
      <c r="Y20" s="15">
        <f>STANDARDIZE(redflag_questions!Y15,Y$5,Y$4)</f>
        <v>1.195257431</v>
      </c>
      <c r="Z20" s="15">
        <f>STANDARDIZE(redflag_questions!Z15,Z$5,Z$4)</f>
        <v>1.303080714</v>
      </c>
    </row>
    <row r="21">
      <c r="A21" s="11" t="str">
        <f>redflag_questions!A16</f>
        <v>Sie ist häufig mit vielen Männer privat umgeben und trifft sich mit diesen.</v>
      </c>
      <c r="B21" s="18">
        <f>redflag_questions!B16</f>
        <v>5.08</v>
      </c>
      <c r="C21" s="15">
        <f>STANDARDIZE(redflag_questions!C16,C$5,C$4)</f>
        <v>1.283969812</v>
      </c>
      <c r="D21" s="15">
        <f>STANDARDIZE(redflag_questions!D16,D$5,D$4)</f>
        <v>-1.41828976</v>
      </c>
      <c r="E21" s="15">
        <f>STANDARDIZE(redflag_questions!E16,E$5,E$4)</f>
        <v>-0.04670657892</v>
      </c>
      <c r="F21" s="15">
        <f>STANDARDIZE(redflag_questions!F16,F$5,F$4)</f>
        <v>-0.5416186085</v>
      </c>
      <c r="G21" s="15">
        <f>STANDARDIZE(redflag_questions!G16,G$5,G$4)</f>
        <v>0.01835036151</v>
      </c>
      <c r="H21" s="15">
        <f>STANDARDIZE(redflag_questions!H16,H$5,H$4)</f>
        <v>-0.7476710175</v>
      </c>
      <c r="I21" s="15">
        <f>STANDARDIZE(redflag_questions!I16,I$5,I$4)</f>
        <v>-1.556875306</v>
      </c>
      <c r="J21" s="15">
        <f>STANDARDIZE(redflag_questions!J16,J$5,J$4)</f>
        <v>0.4427673027</v>
      </c>
      <c r="K21" s="15">
        <f>STANDARDIZE(redflag_questions!K16,K$5,K$4)</f>
        <v>-0.8286841375</v>
      </c>
      <c r="L21" s="15">
        <f>STANDARDIZE(redflag_questions!L16,L$5,L$4)</f>
        <v>1.100748063</v>
      </c>
      <c r="M21" s="15">
        <f>STANDARDIZE(redflag_questions!M16,M$5,M$4)</f>
        <v>-1.971554312</v>
      </c>
      <c r="N21" s="15">
        <f>STANDARDIZE(redflag_questions!N16,N$5,N$4)</f>
        <v>-1.473057691</v>
      </c>
      <c r="O21" s="15">
        <f>STANDARDIZE(redflag_questions!O16,O$5,O$4)</f>
        <v>-1.507752672</v>
      </c>
      <c r="P21" s="15">
        <f>STANDARDIZE(redflag_questions!P16,P$5,P$4)</f>
        <v>0.8112891659</v>
      </c>
      <c r="Q21" s="15">
        <f>STANDARDIZE(redflag_questions!Q16,Q$5,Q$4)</f>
        <v>-1.267372793</v>
      </c>
      <c r="R21" s="15">
        <f>STANDARDIZE(redflag_questions!R16,R$5,R$4)</f>
        <v>-0.2182720319</v>
      </c>
      <c r="S21" s="15">
        <f>STANDARDIZE(redflag_questions!S16,S$5,S$4)</f>
        <v>-1.093828221</v>
      </c>
      <c r="T21" s="15">
        <f>STANDARDIZE(redflag_questions!T16,T$5,T$4)</f>
        <v>-0.5503902835</v>
      </c>
      <c r="U21" s="15">
        <f>STANDARDIZE(redflag_questions!U16,U$5,U$4)</f>
        <v>1.019939475</v>
      </c>
      <c r="V21" s="15">
        <f>STANDARDIZE(redflag_questions!V16,V$5,V$4)</f>
        <v>-0.9213876877</v>
      </c>
      <c r="W21" s="15">
        <f>STANDARDIZE(redflag_questions!W16,W$5,W$4)</f>
        <v>0.1891497943</v>
      </c>
      <c r="X21" s="15">
        <f>STANDARDIZE(redflag_questions!X16,X$5,X$4)</f>
        <v>-0.4541047208</v>
      </c>
      <c r="Y21" s="15">
        <f>STANDARDIZE(redflag_questions!Y16,Y$5,Y$4)</f>
        <v>-0.09960478588</v>
      </c>
      <c r="Z21" s="15">
        <f>STANDARDIZE(redflag_questions!Z16,Z$5,Z$4)</f>
        <v>-0.02036063615</v>
      </c>
    </row>
    <row r="22">
      <c r="A22" s="11" t="str">
        <f>redflag_questions!A17</f>
        <v>Sie hat regelmäßig Kontakt zu einem Ihrer Exfreunde z.B emotionalen Kontakt.</v>
      </c>
      <c r="B22" s="18">
        <f>redflag_questions!B17</f>
        <v>4.4</v>
      </c>
      <c r="C22" s="15">
        <f>STANDARDIZE(redflag_questions!C17,C$5,C$4)</f>
        <v>-0.9869972026</v>
      </c>
      <c r="D22" s="15">
        <f>STANDARDIZE(redflag_questions!D17,D$5,D$4)</f>
        <v>0.3477798646</v>
      </c>
      <c r="E22" s="15">
        <f>STANDARDIZE(redflag_questions!E17,E$5,E$4)</f>
        <v>-0.9141144732</v>
      </c>
      <c r="F22" s="15">
        <f>STANDARDIZE(redflag_questions!F17,F$5,F$4)</f>
        <v>0.8665897736</v>
      </c>
      <c r="G22" s="15">
        <f>STANDARDIZE(redflag_questions!G17,G$5,G$4)</f>
        <v>-1.770809886</v>
      </c>
      <c r="H22" s="15">
        <f>STANDARDIZE(redflag_questions!H17,H$5,H$4)</f>
        <v>-0.7476710175</v>
      </c>
      <c r="I22" s="15">
        <f>STANDARDIZE(redflag_questions!I17,I$5,I$4)</f>
        <v>1.34829871</v>
      </c>
      <c r="J22" s="15">
        <f>STANDARDIZE(redflag_questions!J17,J$5,J$4)</f>
        <v>1.676190503</v>
      </c>
      <c r="K22" s="15">
        <f>STANDARDIZE(redflag_questions!K17,K$5,K$4)</f>
        <v>-1.178453416</v>
      </c>
      <c r="L22" s="15">
        <f>STANDARDIZE(redflag_questions!L17,L$5,L$4)</f>
        <v>-1.599200016</v>
      </c>
      <c r="M22" s="15">
        <f>STANDARDIZE(redflag_questions!M17,M$5,M$4)</f>
        <v>-1.228649789</v>
      </c>
      <c r="N22" s="15">
        <f>STANDARDIZE(redflag_questions!N17,N$5,N$4)</f>
        <v>0.09659394696</v>
      </c>
      <c r="O22" s="15">
        <f>STANDARDIZE(redflag_questions!O17,O$5,O$4)</f>
        <v>-1.886146199</v>
      </c>
      <c r="P22" s="15">
        <f>STANDARDIZE(redflag_questions!P17,P$5,P$4)</f>
        <v>-0.4150781779</v>
      </c>
      <c r="Q22" s="15">
        <f>STANDARDIZE(redflag_questions!Q17,Q$5,Q$4)</f>
        <v>0.5391893023</v>
      </c>
      <c r="R22" s="15">
        <f>STANDARDIZE(redflag_questions!R17,R$5,R$4)</f>
        <v>-0.8094254516</v>
      </c>
      <c r="S22" s="15">
        <f>STANDARDIZE(redflag_questions!S17,S$5,S$4)</f>
        <v>0.1682812648</v>
      </c>
      <c r="T22" s="15">
        <f>STANDARDIZE(redflag_questions!T17,T$5,T$4)</f>
        <v>-0.5503902835</v>
      </c>
      <c r="U22" s="15">
        <f>STANDARDIZE(redflag_questions!U17,U$5,U$4)</f>
        <v>-0.02409305846</v>
      </c>
      <c r="V22" s="15">
        <f>STANDARDIZE(redflag_questions!V17,V$5,V$4)</f>
        <v>-0.5771911377</v>
      </c>
      <c r="W22" s="15">
        <f>STANDARDIZE(redflag_questions!W17,W$5,W$4)</f>
        <v>-0.2499479424</v>
      </c>
      <c r="X22" s="15">
        <f>STANDARDIZE(redflag_questions!X17,X$5,X$4)</f>
        <v>-0.1186864611</v>
      </c>
      <c r="Y22" s="15">
        <f>STANDARDIZE(redflag_questions!Y17,Y$5,Y$4)</f>
        <v>-0.5312255247</v>
      </c>
      <c r="Z22" s="15">
        <f>STANDARDIZE(redflag_questions!Z17,Z$5,Z$4)</f>
        <v>0.861933597</v>
      </c>
    </row>
    <row r="23">
      <c r="A23" s="11" t="str">
        <f>redflag_questions!A18</f>
        <v>Einer ihrer Exfreunde war aus Ihrer Sicht besonders toxisch oder ein klassischer Badboy.</v>
      </c>
      <c r="B23" s="18">
        <f>redflag_questions!B18</f>
        <v>5.33</v>
      </c>
      <c r="C23" s="15">
        <f>STANDARDIZE(redflag_questions!C18,C$5,C$4)</f>
        <v>1.283969812</v>
      </c>
      <c r="D23" s="15">
        <f>STANDARDIZE(redflag_questions!D18,D$5,D$4)</f>
        <v>0.7009937895</v>
      </c>
      <c r="E23" s="15">
        <f>STANDARDIZE(redflag_questions!E18,E$5,E$4)</f>
        <v>-1.34781842</v>
      </c>
      <c r="F23" s="15">
        <f>STANDARDIZE(redflag_questions!F18,F$5,F$4)</f>
        <v>-0.5416186085</v>
      </c>
      <c r="G23" s="15">
        <f>STANDARDIZE(redflag_questions!G18,G$5,G$4)</f>
        <v>-0.5780363877</v>
      </c>
      <c r="H23" s="15">
        <f>STANDARDIZE(redflag_questions!H18,H$5,H$4)</f>
        <v>-2.235383756</v>
      </c>
      <c r="I23" s="15">
        <f>STANDARDIZE(redflag_questions!I18,I$5,I$4)</f>
        <v>-0.104288298</v>
      </c>
      <c r="J23" s="15">
        <f>STANDARDIZE(redflag_questions!J18,J$5,J$4)</f>
        <v>-0.7906558978</v>
      </c>
      <c r="K23" s="15">
        <f>STANDARDIZE(redflag_questions!K18,K$5,K$4)</f>
        <v>-1.877991974</v>
      </c>
      <c r="L23" s="15">
        <f>STANDARDIZE(redflag_questions!L18,L$5,L$4)</f>
        <v>-1.149208669</v>
      </c>
      <c r="M23" s="15">
        <f>STANDARDIZE(redflag_questions!M18,M$5,M$4)</f>
        <v>0.2571592581</v>
      </c>
      <c r="N23" s="15">
        <f>STANDARDIZE(redflag_questions!N18,N$5,N$4)</f>
        <v>0.6198111596</v>
      </c>
      <c r="O23" s="15">
        <f>STANDARDIZE(redflag_questions!O18,O$5,O$4)</f>
        <v>-1.129359144</v>
      </c>
      <c r="P23" s="15">
        <f>STANDARDIZE(redflag_questions!P18,P$5,P$4)</f>
        <v>-0.4150781779</v>
      </c>
      <c r="Q23" s="15">
        <f>STANDARDIZE(redflag_questions!Q18,Q$5,Q$4)</f>
        <v>-0.9060603739</v>
      </c>
      <c r="R23" s="15">
        <f>STANDARDIZE(redflag_questions!R18,R$5,R$4)</f>
        <v>-0.8094254516</v>
      </c>
      <c r="S23" s="15">
        <f>STANDARDIZE(redflag_questions!S18,S$5,S$4)</f>
        <v>-1.935234545</v>
      </c>
      <c r="T23" s="15">
        <f>STANDARDIZE(redflag_questions!T18,T$5,T$4)</f>
        <v>-1.280499843</v>
      </c>
      <c r="U23" s="15">
        <f>STANDARDIZE(redflag_questions!U18,U$5,U$4)</f>
        <v>-1.068125592</v>
      </c>
      <c r="V23" s="15">
        <f>STANDARDIZE(redflag_questions!V18,V$5,V$4)</f>
        <v>-1.265584238</v>
      </c>
      <c r="W23" s="15">
        <f>STANDARDIZE(redflag_questions!W18,W$5,W$4)</f>
        <v>-0.2499479424</v>
      </c>
      <c r="X23" s="15">
        <f>STANDARDIZE(redflag_questions!X18,X$5,X$4)</f>
        <v>-0.4541047208</v>
      </c>
      <c r="Y23" s="15">
        <f>STANDARDIZE(redflag_questions!Y18,Y$5,Y$4)</f>
        <v>-0.5312255247</v>
      </c>
      <c r="Z23" s="15">
        <f>STANDARDIZE(redflag_questions!Z18,Z$5,Z$4)</f>
        <v>-1.343801986</v>
      </c>
    </row>
    <row r="24">
      <c r="A24" s="11" t="str">
        <f>redflag_questions!A19</f>
        <v>Sie stellt Ihre Karriere mit dir gleich oder über dich.</v>
      </c>
      <c r="B24" s="18">
        <f>redflag_questions!B19</f>
        <v>5.72</v>
      </c>
      <c r="C24" s="15">
        <f>STANDARDIZE(redflag_questions!C19,C$5,C$4)</f>
        <v>-0.4192554489</v>
      </c>
      <c r="D24" s="15">
        <f>STANDARDIZE(redflag_questions!D19,D$5,D$4)</f>
        <v>1.054207714</v>
      </c>
      <c r="E24" s="15">
        <f>STANDARDIZE(redflag_questions!E19,E$5,E$4)</f>
        <v>-1.34781842</v>
      </c>
      <c r="F24" s="15">
        <f>STANDARDIZE(redflag_questions!F19,F$5,F$4)</f>
        <v>0.3971869796</v>
      </c>
      <c r="G24" s="15">
        <f>STANDARDIZE(redflag_questions!G19,G$5,G$4)</f>
        <v>-2.367196635</v>
      </c>
      <c r="H24" s="15">
        <f>STANDARDIZE(redflag_questions!H19,H$5,H$4)</f>
        <v>-1.243575264</v>
      </c>
      <c r="I24" s="15">
        <f>STANDARDIZE(redflag_questions!I19,I$5,I$4)</f>
        <v>-0.104288298</v>
      </c>
      <c r="J24" s="15">
        <f>STANDARDIZE(redflag_questions!J19,J$5,J$4)</f>
        <v>-1.201796965</v>
      </c>
      <c r="K24" s="15">
        <f>STANDARDIZE(redflag_questions!K19,K$5,K$4)</f>
        <v>-1.178453416</v>
      </c>
      <c r="L24" s="15">
        <f>STANDARDIZE(redflag_questions!L19,L$5,L$4)</f>
        <v>-0.6992173229</v>
      </c>
      <c r="M24" s="15">
        <f>STANDARDIZE(redflag_questions!M19,M$5,M$4)</f>
        <v>-0.4857452654</v>
      </c>
      <c r="N24" s="15">
        <f>STANDARDIZE(redflag_questions!N19,N$5,N$4)</f>
        <v>0.6198111596</v>
      </c>
      <c r="O24" s="15">
        <f>STANDARDIZE(redflag_questions!O19,O$5,O$4)</f>
        <v>1.141002022</v>
      </c>
      <c r="P24" s="15">
        <f>STANDARDIZE(redflag_questions!P19,P$5,P$4)</f>
        <v>-0.8238672925</v>
      </c>
      <c r="Q24" s="15">
        <f>STANDARDIZE(redflag_questions!Q19,Q$5,Q$4)</f>
        <v>0.5391893023</v>
      </c>
      <c r="R24" s="15">
        <f>STANDARDIZE(redflag_questions!R19,R$5,R$4)</f>
        <v>-1.400578871</v>
      </c>
      <c r="S24" s="15">
        <f>STANDARDIZE(redflag_questions!S19,S$5,S$4)</f>
        <v>0.1682812648</v>
      </c>
      <c r="T24" s="15">
        <f>STANDARDIZE(redflag_questions!T19,T$5,T$4)</f>
        <v>-1.280499843</v>
      </c>
      <c r="U24" s="15">
        <f>STANDARDIZE(redflag_questions!U19,U$5,U$4)</f>
        <v>1.541955741</v>
      </c>
      <c r="V24" s="15">
        <f>STANDARDIZE(redflag_questions!V19,V$5,V$4)</f>
        <v>0.4553985123</v>
      </c>
      <c r="W24" s="15">
        <f>STANDARDIZE(redflag_questions!W19,W$5,W$4)</f>
        <v>1.067345268</v>
      </c>
      <c r="X24" s="15">
        <f>STANDARDIZE(redflag_questions!X19,X$5,X$4)</f>
        <v>1.222986578</v>
      </c>
      <c r="Y24" s="15">
        <f>STANDARDIZE(redflag_questions!Y19,Y$5,Y$4)</f>
        <v>-0.09960478588</v>
      </c>
      <c r="Z24" s="15">
        <f>STANDARDIZE(redflag_questions!Z19,Z$5,Z$4)</f>
        <v>1.303080714</v>
      </c>
    </row>
    <row r="25">
      <c r="A25" s="11" t="str">
        <f>redflag_questions!A20</f>
        <v>Sie hat einen Überschuss an körperlich maskuliner Energie und ist eher dominant.</v>
      </c>
      <c r="B25" s="18">
        <f>redflag_questions!B20</f>
        <v>4.23</v>
      </c>
      <c r="C25" s="15">
        <f>STANDARDIZE(redflag_questions!C20,C$5,C$4)</f>
        <v>-0.9869972026</v>
      </c>
      <c r="D25" s="15">
        <f>STANDARDIZE(redflag_questions!D20,D$5,D$4)</f>
        <v>-0.7118619103</v>
      </c>
      <c r="E25" s="15">
        <f>STANDARDIZE(redflag_questions!E20,E$5,E$4)</f>
        <v>-0.4804105261</v>
      </c>
      <c r="F25" s="15">
        <f>STANDARDIZE(redflag_questions!F20,F$5,F$4)</f>
        <v>0.8665897736</v>
      </c>
      <c r="G25" s="15">
        <f>STANDARDIZE(redflag_questions!G20,G$5,G$4)</f>
        <v>0.6147371107</v>
      </c>
      <c r="H25" s="15">
        <f>STANDARDIZE(redflag_questions!H20,H$5,H$4)</f>
        <v>-0.2517667712</v>
      </c>
      <c r="I25" s="15">
        <f>STANDARDIZE(redflag_questions!I20,I$5,I$4)</f>
        <v>-1.556875306</v>
      </c>
      <c r="J25" s="15">
        <f>STANDARDIZE(redflag_questions!J20,J$5,J$4)</f>
        <v>-1.612938031</v>
      </c>
      <c r="K25" s="15">
        <f>STANDARDIZE(redflag_questions!K20,K$5,K$4)</f>
        <v>1.269931535</v>
      </c>
      <c r="L25" s="15">
        <f>STANDARDIZE(redflag_questions!L20,L$5,L$4)</f>
        <v>-1.149208669</v>
      </c>
      <c r="M25" s="15">
        <f>STANDARDIZE(redflag_questions!M20,M$5,M$4)</f>
        <v>-0.8571975271</v>
      </c>
      <c r="N25" s="15">
        <f>STANDARDIZE(redflag_questions!N20,N$5,N$4)</f>
        <v>-1.473057691</v>
      </c>
      <c r="O25" s="15">
        <f>STANDARDIZE(redflag_questions!O20,O$5,O$4)</f>
        <v>0.3842149665</v>
      </c>
      <c r="P25" s="15">
        <f>STANDARDIZE(redflag_questions!P20,P$5,P$4)</f>
        <v>-0.8238672925</v>
      </c>
      <c r="Q25" s="15">
        <f>STANDARDIZE(redflag_questions!Q20,Q$5,Q$4)</f>
        <v>-1.267372793</v>
      </c>
      <c r="R25" s="15">
        <f>STANDARDIZE(redflag_questions!R20,R$5,R$4)</f>
        <v>-1.991732291</v>
      </c>
      <c r="S25" s="15">
        <f>STANDARDIZE(redflag_questions!S20,S$5,S$4)</f>
        <v>-0.2524218971</v>
      </c>
      <c r="T25" s="15">
        <f>STANDARDIZE(redflag_questions!T20,T$5,T$4)</f>
        <v>0.1797192762</v>
      </c>
      <c r="U25" s="15">
        <f>STANDARDIZE(redflag_questions!U20,U$5,U$4)</f>
        <v>-0.546109325</v>
      </c>
      <c r="V25" s="15">
        <f>STANDARDIZE(redflag_questions!V20,V$5,V$4)</f>
        <v>-1.265584238</v>
      </c>
      <c r="W25" s="15">
        <f>STANDARDIZE(redflag_questions!W20,W$5,W$4)</f>
        <v>1.067345268</v>
      </c>
      <c r="X25" s="15">
        <f>STANDARDIZE(redflag_questions!X20,X$5,X$4)</f>
        <v>-1.12494124</v>
      </c>
      <c r="Y25" s="15">
        <f>STANDARDIZE(redflag_questions!Y20,Y$5,Y$4)</f>
        <v>-0.9628462635</v>
      </c>
      <c r="Z25" s="15">
        <f>STANDARDIZE(redflag_questions!Z20,Z$5,Z$4)</f>
        <v>-1.784949102</v>
      </c>
    </row>
    <row r="26">
      <c r="A26" s="11" t="str">
        <f>redflag_questions!A21</f>
        <v>Sie empfindet eine starke Eifersucht.</v>
      </c>
      <c r="B26" s="18">
        <f>redflag_questions!B21</f>
        <v>6.17</v>
      </c>
      <c r="C26" s="15">
        <f>STANDARDIZE(redflag_questions!C21,C$5,C$4)</f>
        <v>-0.9869972026</v>
      </c>
      <c r="D26" s="15">
        <f>STANDARDIZE(redflag_questions!D21,D$5,D$4)</f>
        <v>-1.065075835</v>
      </c>
      <c r="E26" s="15">
        <f>STANDARDIZE(redflag_questions!E21,E$5,E$4)</f>
        <v>0.3869973682</v>
      </c>
      <c r="F26" s="15">
        <f>STANDARDIZE(redflag_questions!F21,F$5,F$4)</f>
        <v>-0.07221581447</v>
      </c>
      <c r="G26" s="15">
        <f>STANDARDIZE(redflag_questions!G21,G$5,G$4)</f>
        <v>0.6147371107</v>
      </c>
      <c r="H26" s="15">
        <f>STANDARDIZE(redflag_questions!H21,H$5,H$4)</f>
        <v>-0.2517667712</v>
      </c>
      <c r="I26" s="15">
        <f>STANDARDIZE(redflag_questions!I21,I$5,I$4)</f>
        <v>0.8641030409</v>
      </c>
      <c r="J26" s="15">
        <f>STANDARDIZE(redflag_questions!J21,J$5,J$4)</f>
        <v>-2.024079098</v>
      </c>
      <c r="K26" s="15">
        <f>STANDARDIZE(redflag_questions!K21,K$5,K$4)</f>
        <v>0.2206236989</v>
      </c>
      <c r="L26" s="15">
        <f>STANDARDIZE(redflag_questions!L21,L$5,L$4)</f>
        <v>-0.6992173229</v>
      </c>
      <c r="M26" s="15">
        <f>STANDARDIZE(redflag_questions!M21,M$5,M$4)</f>
        <v>1.371516043</v>
      </c>
      <c r="N26" s="15">
        <f>STANDARDIZE(redflag_questions!N21,N$5,N$4)</f>
        <v>-0.4266232657</v>
      </c>
      <c r="O26" s="15">
        <f>STANDARDIZE(redflag_questions!O21,O$5,O$4)</f>
        <v>1.141002022</v>
      </c>
      <c r="P26" s="15">
        <f>STANDARDIZE(redflag_questions!P21,P$5,P$4)</f>
        <v>1.22007828</v>
      </c>
      <c r="Q26" s="15">
        <f>STANDARDIZE(redflag_questions!Q21,Q$5,Q$4)</f>
        <v>0.9005017213</v>
      </c>
      <c r="R26" s="15">
        <f>STANDARDIZE(redflag_questions!R21,R$5,R$4)</f>
        <v>-0.2182720319</v>
      </c>
      <c r="S26" s="15">
        <f>STANDARDIZE(redflag_questions!S21,S$5,S$4)</f>
        <v>0.1682812648</v>
      </c>
      <c r="T26" s="15">
        <f>STANDARDIZE(redflag_questions!T21,T$5,T$4)</f>
        <v>-0.5503902835</v>
      </c>
      <c r="U26" s="15">
        <f>STANDARDIZE(redflag_questions!U21,U$5,U$4)</f>
        <v>0.4979232081</v>
      </c>
      <c r="V26" s="15">
        <f>STANDARDIZE(redflag_questions!V21,V$5,V$4)</f>
        <v>0.7995950623</v>
      </c>
      <c r="W26" s="15">
        <f>STANDARDIZE(redflag_questions!W21,W$5,W$4)</f>
        <v>-0.6890456792</v>
      </c>
      <c r="X26" s="15">
        <f>STANDARDIZE(redflag_questions!X21,X$5,X$4)</f>
        <v>-1.12494124</v>
      </c>
      <c r="Y26" s="15">
        <f>STANDARDIZE(redflag_questions!Y21,Y$5,Y$4)</f>
        <v>0.7636366917</v>
      </c>
      <c r="Z26" s="15">
        <f>STANDARDIZE(redflag_questions!Z21,Z$5,Z$4)</f>
        <v>0.861933597</v>
      </c>
    </row>
    <row r="27">
      <c r="A27" s="11" t="str">
        <f>redflag_questions!A22</f>
        <v>Sie stellt Kleinigkeiten viel bedeutungsvoller dar als sie sind um häufig damit im Zentrum der Aufmerksamkeit zu stehen.</v>
      </c>
      <c r="B27" s="18">
        <f>redflag_questions!B22</f>
        <v>4.98</v>
      </c>
      <c r="C27" s="15">
        <f>STANDARDIZE(redflag_questions!C22,C$5,C$4)</f>
        <v>1.283969812</v>
      </c>
      <c r="D27" s="15">
        <f>STANDARDIZE(redflag_questions!D22,D$5,D$4)</f>
        <v>0.7009937895</v>
      </c>
      <c r="E27" s="15">
        <f>STANDARDIZE(redflag_questions!E22,E$5,E$4)</f>
        <v>-0.04670657892</v>
      </c>
      <c r="F27" s="15">
        <f>STANDARDIZE(redflag_questions!F22,F$5,F$4)</f>
        <v>-0.07221581447</v>
      </c>
      <c r="G27" s="15">
        <f>STANDARDIZE(redflag_questions!G22,G$5,G$4)</f>
        <v>-0.5780363877</v>
      </c>
      <c r="H27" s="15">
        <f>STANDARDIZE(redflag_questions!H22,H$5,H$4)</f>
        <v>0.2441374751</v>
      </c>
      <c r="I27" s="15">
        <f>STANDARDIZE(redflag_questions!I22,I$5,I$4)</f>
        <v>0.3799073714</v>
      </c>
      <c r="J27" s="15">
        <f>STANDARDIZE(redflag_questions!J22,J$5,J$4)</f>
        <v>-0.7906558978</v>
      </c>
      <c r="K27" s="15">
        <f>STANDARDIZE(redflag_questions!K22,K$5,K$4)</f>
        <v>-0.4789148587</v>
      </c>
      <c r="L27" s="15">
        <f>STANDARDIZE(redflag_questions!L22,L$5,L$4)</f>
        <v>-0.2492259765</v>
      </c>
      <c r="M27" s="15">
        <f>STANDARDIZE(redflag_questions!M22,M$5,M$4)</f>
        <v>-0.1142930036</v>
      </c>
      <c r="N27" s="15">
        <f>STANDARDIZE(redflag_questions!N22,N$5,N$4)</f>
        <v>1.143028372</v>
      </c>
      <c r="O27" s="15">
        <f>STANDARDIZE(redflag_questions!O22,O$5,O$4)</f>
        <v>0.7626084941</v>
      </c>
      <c r="P27" s="15">
        <f>STANDARDIZE(redflag_questions!P22,P$5,P$4)</f>
        <v>1.22007828</v>
      </c>
      <c r="Q27" s="15">
        <f>STANDARDIZE(redflag_questions!Q22,Q$5,Q$4)</f>
        <v>0.5391893023</v>
      </c>
      <c r="R27" s="15">
        <f>STANDARDIZE(redflag_questions!R22,R$5,R$4)</f>
        <v>-0.8094254516</v>
      </c>
      <c r="S27" s="15">
        <f>STANDARDIZE(redflag_questions!S22,S$5,S$4)</f>
        <v>0.1682812648</v>
      </c>
      <c r="T27" s="15">
        <f>STANDARDIZE(redflag_questions!T22,T$5,T$4)</f>
        <v>0.909828836</v>
      </c>
      <c r="U27" s="15">
        <f>STANDARDIZE(redflag_questions!U22,U$5,U$4)</f>
        <v>-0.546109325</v>
      </c>
      <c r="V27" s="15">
        <f>STANDARDIZE(redflag_questions!V22,V$5,V$4)</f>
        <v>0.4553985123</v>
      </c>
      <c r="W27" s="15">
        <f>STANDARDIZE(redflag_questions!W22,W$5,W$4)</f>
        <v>0.1891497943</v>
      </c>
      <c r="X27" s="15">
        <f>STANDARDIZE(redflag_questions!X22,X$5,X$4)</f>
        <v>0.5521500582</v>
      </c>
      <c r="Y27" s="15">
        <f>STANDARDIZE(redflag_questions!Y22,Y$5,Y$4)</f>
        <v>-0.9628462635</v>
      </c>
      <c r="Z27" s="15">
        <f>STANDARDIZE(redflag_questions!Z22,Z$5,Z$4)</f>
        <v>-0.9026548693</v>
      </c>
    </row>
    <row r="28">
      <c r="A28" s="11" t="str">
        <f>redflag_questions!A23</f>
        <v>Sie nörgelt häufig rum und gibt sich mit nichts zufrieden.</v>
      </c>
      <c r="B28" s="18">
        <f>redflag_questions!B23</f>
        <v>6.4</v>
      </c>
      <c r="C28" s="15">
        <f>STANDARDIZE(redflag_questions!C23,C$5,C$4)</f>
        <v>-0.4192554489</v>
      </c>
      <c r="D28" s="15">
        <f>STANDARDIZE(redflag_questions!D23,D$5,D$4)</f>
        <v>0.7009937895</v>
      </c>
      <c r="E28" s="15">
        <f>STANDARDIZE(redflag_questions!E23,E$5,E$4)</f>
        <v>1.254405262</v>
      </c>
      <c r="F28" s="15">
        <f>STANDARDIZE(redflag_questions!F23,F$5,F$4)</f>
        <v>-0.07221581447</v>
      </c>
      <c r="G28" s="15">
        <f>STANDARDIZE(redflag_questions!G23,G$5,G$4)</f>
        <v>-1.174423137</v>
      </c>
      <c r="H28" s="15">
        <f>STANDARDIZE(redflag_questions!H23,H$5,H$4)</f>
        <v>0.2441374751</v>
      </c>
      <c r="I28" s="15">
        <f>STANDARDIZE(redflag_questions!I23,I$5,I$4)</f>
        <v>1.34829871</v>
      </c>
      <c r="J28" s="15">
        <f>STANDARDIZE(redflag_questions!J23,J$5,J$4)</f>
        <v>0.4427673027</v>
      </c>
      <c r="K28" s="15">
        <f>STANDARDIZE(redflag_questions!K23,K$5,K$4)</f>
        <v>0.9201622566</v>
      </c>
      <c r="L28" s="15">
        <f>STANDARDIZE(redflag_questions!L23,L$5,L$4)</f>
        <v>0.6507567163</v>
      </c>
      <c r="M28" s="15">
        <f>STANDARDIZE(redflag_questions!M23,M$5,M$4)</f>
        <v>1.371516043</v>
      </c>
      <c r="N28" s="15">
        <f>STANDARDIZE(redflag_questions!N23,N$5,N$4)</f>
        <v>0.6198111596</v>
      </c>
      <c r="O28" s="15">
        <f>STANDARDIZE(redflag_questions!O23,O$5,O$4)</f>
        <v>0.7626084941</v>
      </c>
      <c r="P28" s="15">
        <f>STANDARDIZE(redflag_questions!P23,P$5,P$4)</f>
        <v>0.8112891659</v>
      </c>
      <c r="Q28" s="15">
        <f>STANDARDIZE(redflag_questions!Q23,Q$5,Q$4)</f>
        <v>0.9005017213</v>
      </c>
      <c r="R28" s="15">
        <f>STANDARDIZE(redflag_questions!R23,R$5,R$4)</f>
        <v>0.9640348075</v>
      </c>
      <c r="S28" s="15">
        <f>STANDARDIZE(redflag_questions!S23,S$5,S$4)</f>
        <v>-0.2524218971</v>
      </c>
      <c r="T28" s="15">
        <f>STANDARDIZE(redflag_questions!T23,T$5,T$4)</f>
        <v>0.1797192762</v>
      </c>
      <c r="U28" s="15">
        <f>STANDARDIZE(redflag_questions!U23,U$5,U$4)</f>
        <v>0.4979232081</v>
      </c>
      <c r="V28" s="15">
        <f>STANDARDIZE(redflag_questions!V23,V$5,V$4)</f>
        <v>1.143791612</v>
      </c>
      <c r="W28" s="15">
        <f>STANDARDIZE(redflag_questions!W23,W$5,W$4)</f>
        <v>1.067345268</v>
      </c>
      <c r="X28" s="15">
        <f>STANDARDIZE(redflag_questions!X23,X$5,X$4)</f>
        <v>1.558404837</v>
      </c>
      <c r="Y28" s="15">
        <f>STANDARDIZE(redflag_questions!Y23,Y$5,Y$4)</f>
        <v>0.7636366917</v>
      </c>
      <c r="Z28" s="15">
        <f>STANDARDIZE(redflag_questions!Z23,Z$5,Z$4)</f>
        <v>-0.4615077527</v>
      </c>
    </row>
    <row r="29">
      <c r="A29" s="11" t="str">
        <f>redflag_questions!A24</f>
        <v>Sie ist stark tätoviert oder gepierct. (mehr als 4 Tatoos)</v>
      </c>
      <c r="B29" s="18">
        <f>redflag_questions!B24</f>
        <v>6.28</v>
      </c>
      <c r="C29" s="15">
        <f>STANDARDIZE(redflag_questions!C24,C$5,C$4)</f>
        <v>1.283969812</v>
      </c>
      <c r="D29" s="15">
        <f>STANDARDIZE(redflag_questions!D24,D$5,D$4)</f>
        <v>0.7009937895</v>
      </c>
      <c r="E29" s="15">
        <f>STANDARDIZE(redflag_questions!E24,E$5,E$4)</f>
        <v>0.3869973682</v>
      </c>
      <c r="F29" s="15">
        <f>STANDARDIZE(redflag_questions!F24,F$5,F$4)</f>
        <v>0.8665897736</v>
      </c>
      <c r="G29" s="15">
        <f>STANDARDIZE(redflag_questions!G24,G$5,G$4)</f>
        <v>0.6147371107</v>
      </c>
      <c r="H29" s="15">
        <f>STANDARDIZE(redflag_questions!H24,H$5,H$4)</f>
        <v>1.235945968</v>
      </c>
      <c r="I29" s="15">
        <f>STANDARDIZE(redflag_questions!I24,I$5,I$4)</f>
        <v>-1.556875306</v>
      </c>
      <c r="J29" s="15">
        <f>STANDARDIZE(redflag_questions!J24,J$5,J$4)</f>
        <v>-1.201796965</v>
      </c>
      <c r="K29" s="15">
        <f>STANDARDIZE(redflag_questions!K24,K$5,K$4)</f>
        <v>0.9201622566</v>
      </c>
      <c r="L29" s="15">
        <f>STANDARDIZE(redflag_questions!L24,L$5,L$4)</f>
        <v>1.100748063</v>
      </c>
      <c r="M29" s="15">
        <f>STANDARDIZE(redflag_questions!M24,M$5,M$4)</f>
        <v>0.2571592581</v>
      </c>
      <c r="N29" s="15">
        <f>STANDARDIZE(redflag_questions!N24,N$5,N$4)</f>
        <v>-0.4266232657</v>
      </c>
      <c r="O29" s="15">
        <f>STANDARDIZE(redflag_questions!O24,O$5,O$4)</f>
        <v>-2.264539727</v>
      </c>
      <c r="P29" s="15">
        <f>STANDARDIZE(redflag_questions!P24,P$5,P$4)</f>
        <v>-0.8238672925</v>
      </c>
      <c r="Q29" s="15">
        <f>STANDARDIZE(redflag_questions!Q24,Q$5,Q$4)</f>
        <v>-1.989997631</v>
      </c>
      <c r="R29" s="15">
        <f>STANDARDIZE(redflag_questions!R24,R$5,R$4)</f>
        <v>-1.400578871</v>
      </c>
      <c r="S29" s="15">
        <f>STANDARDIZE(redflag_questions!S24,S$5,S$4)</f>
        <v>1.009687589</v>
      </c>
      <c r="T29" s="15">
        <f>STANDARDIZE(redflag_questions!T24,T$5,T$4)</f>
        <v>0.1797192762</v>
      </c>
      <c r="U29" s="15">
        <f>STANDARDIZE(redflag_questions!U24,U$5,U$4)</f>
        <v>-1.068125592</v>
      </c>
      <c r="V29" s="15">
        <f>STANDARDIZE(redflag_questions!V24,V$5,V$4)</f>
        <v>-1.609780788</v>
      </c>
      <c r="W29" s="15">
        <f>STANDARDIZE(redflag_questions!W24,W$5,W$4)</f>
        <v>1.067345268</v>
      </c>
      <c r="X29" s="15">
        <f>STANDARDIZE(redflag_questions!X24,X$5,X$4)</f>
        <v>1.222986578</v>
      </c>
      <c r="Y29" s="15">
        <f>STANDARDIZE(redflag_questions!Y24,Y$5,Y$4)</f>
        <v>-0.9628462635</v>
      </c>
      <c r="Z29" s="15">
        <f>STANDARDIZE(redflag_questions!Z24,Z$5,Z$4)</f>
        <v>0.861933597</v>
      </c>
    </row>
    <row r="30">
      <c r="A30" s="11" t="str">
        <f>redflag_questions!A25</f>
        <v>Sie hat eher oberflächliche Schönheits Operationen über sich ergehen lassen besonders im Gesicht.</v>
      </c>
      <c r="B30" s="18">
        <f>redflag_questions!B25</f>
        <v>5.56</v>
      </c>
      <c r="C30" s="15">
        <f>STANDARDIZE(redflag_questions!C25,C$5,C$4)</f>
        <v>-2.12248071</v>
      </c>
      <c r="D30" s="15">
        <f>STANDARDIZE(redflag_questions!D25,D$5,D$4)</f>
        <v>-1.065075835</v>
      </c>
      <c r="E30" s="15">
        <f>STANDARDIZE(redflag_questions!E25,E$5,E$4)</f>
        <v>-0.9141144732</v>
      </c>
      <c r="F30" s="15">
        <f>STANDARDIZE(redflag_questions!F25,F$5,F$4)</f>
        <v>1.335992568</v>
      </c>
      <c r="G30" s="15">
        <f>STANDARDIZE(redflag_questions!G25,G$5,G$4)</f>
        <v>0.01835036151</v>
      </c>
      <c r="H30" s="15">
        <f>STANDARDIZE(redflag_questions!H25,H$5,H$4)</f>
        <v>1.235945968</v>
      </c>
      <c r="I30" s="15">
        <f>STANDARDIZE(redflag_questions!I25,I$5,I$4)</f>
        <v>0.3799073714</v>
      </c>
      <c r="J30" s="15">
        <f>STANDARDIZE(redflag_questions!J25,J$5,J$4)</f>
        <v>0.03162623591</v>
      </c>
      <c r="K30" s="15">
        <f>STANDARDIZE(redflag_questions!K25,K$5,K$4)</f>
        <v>-1.528222695</v>
      </c>
      <c r="L30" s="15">
        <f>STANDARDIZE(redflag_questions!L25,L$5,L$4)</f>
        <v>1.100748063</v>
      </c>
      <c r="M30" s="15">
        <f>STANDARDIZE(redflag_questions!M25,M$5,M$4)</f>
        <v>-1.971554312</v>
      </c>
      <c r="N30" s="15">
        <f>STANDARDIZE(redflag_questions!N25,N$5,N$4)</f>
        <v>-0.4266232657</v>
      </c>
      <c r="O30" s="15">
        <f>STANDARDIZE(redflag_questions!O25,O$5,O$4)</f>
        <v>0.3842149665</v>
      </c>
      <c r="P30" s="15">
        <f>STANDARDIZE(redflag_questions!P25,P$5,P$4)</f>
        <v>-0.4150781779</v>
      </c>
      <c r="Q30" s="15">
        <f>STANDARDIZE(redflag_questions!Q25,Q$5,Q$4)</f>
        <v>1.26181414</v>
      </c>
      <c r="R30" s="15">
        <f>STANDARDIZE(redflag_questions!R25,R$5,R$4)</f>
        <v>-0.2182720319</v>
      </c>
      <c r="S30" s="15">
        <f>STANDARDIZE(redflag_questions!S25,S$5,S$4)</f>
        <v>0.5889844267</v>
      </c>
      <c r="T30" s="15">
        <f>STANDARDIZE(redflag_questions!T25,T$5,T$4)</f>
        <v>1.639938396</v>
      </c>
      <c r="U30" s="15">
        <f>STANDARDIZE(redflag_questions!U25,U$5,U$4)</f>
        <v>1.019939475</v>
      </c>
      <c r="V30" s="15">
        <f>STANDARDIZE(redflag_questions!V25,V$5,V$4)</f>
        <v>0.4553985123</v>
      </c>
      <c r="W30" s="15">
        <f>STANDARDIZE(redflag_questions!W25,W$5,W$4)</f>
        <v>1.067345268</v>
      </c>
      <c r="X30" s="15">
        <f>STANDARDIZE(redflag_questions!X25,X$5,X$4)</f>
        <v>0.8875683179</v>
      </c>
      <c r="Y30" s="15">
        <f>STANDARDIZE(redflag_questions!Y25,Y$5,Y$4)</f>
        <v>-0.5312255247</v>
      </c>
      <c r="Z30" s="15">
        <f>STANDARDIZE(redflag_questions!Z25,Z$5,Z$4)</f>
        <v>-1.343801986</v>
      </c>
    </row>
    <row r="31">
      <c r="A31" s="11" t="str">
        <f>redflag_questions!A26</f>
        <v>Sie benutzt übermäßg häufig und starke MakeUps oder Cremes.</v>
      </c>
      <c r="B31" s="18">
        <f>redflag_questions!B26</f>
        <v>5.73</v>
      </c>
      <c r="C31" s="15">
        <f>STANDARDIZE(redflag_questions!C26,C$5,C$4)</f>
        <v>0.1484863048</v>
      </c>
      <c r="D31" s="15">
        <f>STANDARDIZE(redflag_questions!D26,D$5,D$4)</f>
        <v>-2.12471761</v>
      </c>
      <c r="E31" s="15">
        <f>STANDARDIZE(redflag_questions!E26,E$5,E$4)</f>
        <v>0.3869973682</v>
      </c>
      <c r="F31" s="15">
        <f>STANDARDIZE(redflag_questions!F26,F$5,F$4)</f>
        <v>0.8665897736</v>
      </c>
      <c r="G31" s="15">
        <f>STANDARDIZE(redflag_questions!G26,G$5,G$4)</f>
        <v>0.6147371107</v>
      </c>
      <c r="H31" s="15">
        <f>STANDARDIZE(redflag_questions!H26,H$5,H$4)</f>
        <v>0.7400417214</v>
      </c>
      <c r="I31" s="15">
        <f>STANDARDIZE(redflag_questions!I26,I$5,I$4)</f>
        <v>0.8641030409</v>
      </c>
      <c r="J31" s="15">
        <f>STANDARDIZE(redflag_questions!J26,J$5,J$4)</f>
        <v>-1.612938031</v>
      </c>
      <c r="K31" s="15">
        <f>STANDARDIZE(redflag_questions!K26,K$5,K$4)</f>
        <v>0.2206236989</v>
      </c>
      <c r="L31" s="15">
        <f>STANDARDIZE(redflag_questions!L26,L$5,L$4)</f>
        <v>1.100748063</v>
      </c>
      <c r="M31" s="15">
        <f>STANDARDIZE(redflag_questions!M26,M$5,M$4)</f>
        <v>-1.600102051</v>
      </c>
      <c r="N31" s="15">
        <f>STANDARDIZE(redflag_questions!N26,N$5,N$4)</f>
        <v>-0.9498404784</v>
      </c>
      <c r="O31" s="15">
        <f>STANDARDIZE(redflag_questions!O26,O$5,O$4)</f>
        <v>0.005821438886</v>
      </c>
      <c r="P31" s="15">
        <f>STANDARDIZE(redflag_questions!P26,P$5,P$4)</f>
        <v>1.22007828</v>
      </c>
      <c r="Q31" s="15">
        <f>STANDARDIZE(redflag_questions!Q26,Q$5,Q$4)</f>
        <v>0.9005017213</v>
      </c>
      <c r="R31" s="15">
        <f>STANDARDIZE(redflag_questions!R26,R$5,R$4)</f>
        <v>-0.2182720319</v>
      </c>
      <c r="S31" s="15">
        <f>STANDARDIZE(redflag_questions!S26,S$5,S$4)</f>
        <v>1.009687589</v>
      </c>
      <c r="T31" s="15">
        <f>STANDARDIZE(redflag_questions!T26,T$5,T$4)</f>
        <v>1.639938396</v>
      </c>
      <c r="U31" s="15">
        <f>STANDARDIZE(redflag_questions!U26,U$5,U$4)</f>
        <v>-0.02409305846</v>
      </c>
      <c r="V31" s="15">
        <f>STANDARDIZE(redflag_questions!V26,V$5,V$4)</f>
        <v>0.4553985123</v>
      </c>
      <c r="W31" s="15">
        <f>STANDARDIZE(redflag_questions!W26,W$5,W$4)</f>
        <v>1.067345268</v>
      </c>
      <c r="X31" s="15">
        <f>STANDARDIZE(redflag_questions!X26,X$5,X$4)</f>
        <v>0.5521500582</v>
      </c>
      <c r="Y31" s="15">
        <f>STANDARDIZE(redflag_questions!Y26,Y$5,Y$4)</f>
        <v>0.3320159529</v>
      </c>
      <c r="Z31" s="15">
        <f>STANDARDIZE(redflag_questions!Z26,Z$5,Z$4)</f>
        <v>0.4207864804</v>
      </c>
    </row>
    <row r="32">
      <c r="A32" s="11" t="str">
        <f>redflag_questions!A27</f>
        <v>Sie hat kurze Haare kürzer als 10cm.</v>
      </c>
      <c r="B32" s="18">
        <f>redflag_questions!B27</f>
        <v>3.75</v>
      </c>
      <c r="C32" s="15">
        <f>STANDARDIZE(redflag_questions!C27,C$5,C$4)</f>
        <v>-0.9869972026</v>
      </c>
      <c r="D32" s="15">
        <f>STANDARDIZE(redflag_questions!D27,D$5,D$4)</f>
        <v>-0.7118619103</v>
      </c>
      <c r="E32" s="15">
        <f>STANDARDIZE(redflag_questions!E27,E$5,E$4)</f>
        <v>0.3869973682</v>
      </c>
      <c r="F32" s="15">
        <f>STANDARDIZE(redflag_questions!F27,F$5,F$4)</f>
        <v>-1.480424197</v>
      </c>
      <c r="G32" s="15">
        <f>STANDARDIZE(redflag_questions!G27,G$5,G$4)</f>
        <v>-1.174423137</v>
      </c>
      <c r="H32" s="15">
        <f>STANDARDIZE(redflag_questions!H27,H$5,H$4)</f>
        <v>-1.243575264</v>
      </c>
      <c r="I32" s="15">
        <f>STANDARDIZE(redflag_questions!I27,I$5,I$4)</f>
        <v>1.34829871</v>
      </c>
      <c r="J32" s="15">
        <f>STANDARDIZE(redflag_questions!J27,J$5,J$4)</f>
        <v>0.8539083696</v>
      </c>
      <c r="K32" s="15">
        <f>STANDARDIZE(redflag_questions!K27,K$5,K$4)</f>
        <v>0.9201622566</v>
      </c>
      <c r="L32" s="15">
        <f>STANDARDIZE(redflag_questions!L27,L$5,L$4)</f>
        <v>-1.599200016</v>
      </c>
      <c r="M32" s="15">
        <f>STANDARDIZE(redflag_questions!M27,M$5,M$4)</f>
        <v>0.2571592581</v>
      </c>
      <c r="N32" s="15">
        <f>STANDARDIZE(redflag_questions!N27,N$5,N$4)</f>
        <v>-1.473057691</v>
      </c>
      <c r="O32" s="15">
        <f>STANDARDIZE(redflag_questions!O27,O$5,O$4)</f>
        <v>1.141002022</v>
      </c>
      <c r="P32" s="15">
        <f>STANDARDIZE(redflag_questions!P27,P$5,P$4)</f>
        <v>-1.232656407</v>
      </c>
      <c r="Q32" s="15">
        <f>STANDARDIZE(redflag_questions!Q27,Q$5,Q$4)</f>
        <v>-1.267372793</v>
      </c>
      <c r="R32" s="15">
        <f>STANDARDIZE(redflag_questions!R27,R$5,R$4)</f>
        <v>-1.991732291</v>
      </c>
      <c r="S32" s="15">
        <f>STANDARDIZE(redflag_questions!S27,S$5,S$4)</f>
        <v>-1.935234545</v>
      </c>
      <c r="T32" s="15">
        <f>STANDARDIZE(redflag_questions!T27,T$5,T$4)</f>
        <v>-1.280499843</v>
      </c>
      <c r="U32" s="15">
        <f>STANDARDIZE(redflag_questions!U27,U$5,U$4)</f>
        <v>-1.068125592</v>
      </c>
      <c r="V32" s="15">
        <f>STANDARDIZE(redflag_questions!V27,V$5,V$4)</f>
        <v>-1.609780788</v>
      </c>
      <c r="W32" s="15">
        <f>STANDARDIZE(redflag_questions!W27,W$5,W$4)</f>
        <v>-0.6890456792</v>
      </c>
      <c r="X32" s="15">
        <f>STANDARDIZE(redflag_questions!X27,X$5,X$4)</f>
        <v>-1.4603595</v>
      </c>
      <c r="Y32" s="15">
        <f>STANDARDIZE(redflag_questions!Y27,Y$5,Y$4)</f>
        <v>-1.826087741</v>
      </c>
      <c r="Z32" s="15">
        <f>STANDARDIZE(redflag_questions!Z27,Z$5,Z$4)</f>
        <v>0.4207864804</v>
      </c>
    </row>
    <row r="33">
      <c r="A33" s="11" t="str">
        <f>redflag_questions!A28</f>
        <v>Sie ist selbst verschuldet stark übergewichtig.</v>
      </c>
      <c r="B33" s="18">
        <f>redflag_questions!B28</f>
        <v>6.3</v>
      </c>
      <c r="C33" s="15">
        <f>STANDARDIZE(redflag_questions!C28,C$5,C$4)</f>
        <v>-0.9869972026</v>
      </c>
      <c r="D33" s="15">
        <f>STANDARDIZE(redflag_questions!D28,D$5,D$4)</f>
        <v>-1.41828976</v>
      </c>
      <c r="E33" s="15">
        <f>STANDARDIZE(redflag_questions!E28,E$5,E$4)</f>
        <v>1.254405262</v>
      </c>
      <c r="F33" s="15">
        <f>STANDARDIZE(redflag_questions!F28,F$5,F$4)</f>
        <v>0.3971869796</v>
      </c>
      <c r="G33" s="15">
        <f>STANDARDIZE(redflag_questions!G28,G$5,G$4)</f>
        <v>0.6147371107</v>
      </c>
      <c r="H33" s="15">
        <f>STANDARDIZE(redflag_questions!H28,H$5,H$4)</f>
        <v>1.235945968</v>
      </c>
      <c r="I33" s="15">
        <f>STANDARDIZE(redflag_questions!I28,I$5,I$4)</f>
        <v>1.34829871</v>
      </c>
      <c r="J33" s="15">
        <f>STANDARDIZE(redflag_questions!J28,J$5,J$4)</f>
        <v>0.8539083696</v>
      </c>
      <c r="K33" s="15">
        <f>STANDARDIZE(redflag_questions!K28,K$5,K$4)</f>
        <v>1.269931535</v>
      </c>
      <c r="L33" s="15">
        <f>STANDARDIZE(redflag_questions!L28,L$5,L$4)</f>
        <v>1.100748063</v>
      </c>
      <c r="M33" s="15">
        <f>STANDARDIZE(redflag_questions!M28,M$5,M$4)</f>
        <v>1.371516043</v>
      </c>
      <c r="N33" s="15">
        <f>STANDARDIZE(redflag_questions!N28,N$5,N$4)</f>
        <v>-0.9498404784</v>
      </c>
      <c r="O33" s="15">
        <f>STANDARDIZE(redflag_questions!O28,O$5,O$4)</f>
        <v>1.141002022</v>
      </c>
      <c r="P33" s="15">
        <f>STANDARDIZE(redflag_questions!P28,P$5,P$4)</f>
        <v>2.03765651</v>
      </c>
      <c r="Q33" s="15">
        <f>STANDARDIZE(redflag_questions!Q28,Q$5,Q$4)</f>
        <v>1.26181414</v>
      </c>
      <c r="R33" s="15">
        <f>STANDARDIZE(redflag_questions!R28,R$5,R$4)</f>
        <v>0.3728813878</v>
      </c>
      <c r="S33" s="15">
        <f>STANDARDIZE(redflag_questions!S28,S$5,S$4)</f>
        <v>1.43039075</v>
      </c>
      <c r="T33" s="15">
        <f>STANDARDIZE(redflag_questions!T28,T$5,T$4)</f>
        <v>0.909828836</v>
      </c>
      <c r="U33" s="15">
        <f>STANDARDIZE(redflag_questions!U28,U$5,U$4)</f>
        <v>1.541955741</v>
      </c>
      <c r="V33" s="15">
        <f>STANDARDIZE(redflag_questions!V28,V$5,V$4)</f>
        <v>0.4553985123</v>
      </c>
      <c r="W33" s="15">
        <f>STANDARDIZE(redflag_questions!W28,W$5,W$4)</f>
        <v>1.067345268</v>
      </c>
      <c r="X33" s="15">
        <f>STANDARDIZE(redflag_questions!X28,X$5,X$4)</f>
        <v>0.5521500582</v>
      </c>
      <c r="Y33" s="15">
        <f>STANDARDIZE(redflag_questions!Y28,Y$5,Y$4)</f>
        <v>-1.826087741</v>
      </c>
      <c r="Z33" s="15">
        <f>STANDARDIZE(redflag_questions!Z28,Z$5,Z$4)</f>
        <v>-0.4615077527</v>
      </c>
    </row>
    <row r="34">
      <c r="A34" s="11" t="str">
        <f>redflag_questions!A29</f>
        <v>Sie verletzt sich körperlich selbst.</v>
      </c>
      <c r="B34" s="18">
        <f>redflag_questions!B29</f>
        <v>7.16</v>
      </c>
      <c r="C34" s="15">
        <f>STANDARDIZE(redflag_questions!C29,C$5,C$4)</f>
        <v>0.7162280585</v>
      </c>
      <c r="D34" s="15">
        <f>STANDARDIZE(redflag_questions!D29,D$5,D$4)</f>
        <v>1.054207714</v>
      </c>
      <c r="E34" s="15">
        <f>STANDARDIZE(redflag_questions!E29,E$5,E$4)</f>
        <v>-0.4804105261</v>
      </c>
      <c r="F34" s="15">
        <f>STANDARDIZE(redflag_questions!F29,F$5,F$4)</f>
        <v>1.335992568</v>
      </c>
      <c r="G34" s="15">
        <f>STANDARDIZE(redflag_questions!G29,G$5,G$4)</f>
        <v>1.21112386</v>
      </c>
      <c r="H34" s="15">
        <f>STANDARDIZE(redflag_questions!H29,H$5,H$4)</f>
        <v>1.235945968</v>
      </c>
      <c r="I34" s="15">
        <f>STANDARDIZE(redflag_questions!I29,I$5,I$4)</f>
        <v>1.34829871</v>
      </c>
      <c r="J34" s="15">
        <f>STANDARDIZE(redflag_questions!J29,J$5,J$4)</f>
        <v>1.676190503</v>
      </c>
      <c r="K34" s="15">
        <f>STANDARDIZE(redflag_questions!K29,K$5,K$4)</f>
        <v>1.269931535</v>
      </c>
      <c r="L34" s="15">
        <f>STANDARDIZE(redflag_questions!L29,L$5,L$4)</f>
        <v>1.100748063</v>
      </c>
      <c r="M34" s="15">
        <f>STANDARDIZE(redflag_questions!M29,M$5,M$4)</f>
        <v>0.6286115199</v>
      </c>
      <c r="N34" s="15">
        <f>STANDARDIZE(redflag_questions!N29,N$5,N$4)</f>
        <v>1.143028372</v>
      </c>
      <c r="O34" s="15">
        <f>STANDARDIZE(redflag_questions!O29,O$5,O$4)</f>
        <v>1.141002022</v>
      </c>
      <c r="P34" s="15">
        <f>STANDARDIZE(redflag_questions!P29,P$5,P$4)</f>
        <v>1.22007828</v>
      </c>
      <c r="Q34" s="15">
        <f>STANDARDIZE(redflag_questions!Q29,Q$5,Q$4)</f>
        <v>1.26181414</v>
      </c>
      <c r="R34" s="15">
        <f>STANDARDIZE(redflag_questions!R29,R$5,R$4)</f>
        <v>0.3728813878</v>
      </c>
      <c r="S34" s="15">
        <f>STANDARDIZE(redflag_questions!S29,S$5,S$4)</f>
        <v>1.43039075</v>
      </c>
      <c r="T34" s="15">
        <f>STANDARDIZE(redflag_questions!T29,T$5,T$4)</f>
        <v>0.1797192762</v>
      </c>
      <c r="U34" s="15">
        <f>STANDARDIZE(redflag_questions!U29,U$5,U$4)</f>
        <v>-1.068125592</v>
      </c>
      <c r="V34" s="15">
        <f>STANDARDIZE(redflag_questions!V29,V$5,V$4)</f>
        <v>0.7995950623</v>
      </c>
      <c r="W34" s="15">
        <f>STANDARDIZE(redflag_questions!W29,W$5,W$4)</f>
        <v>1.067345268</v>
      </c>
      <c r="X34" s="15">
        <f>STANDARDIZE(redflag_questions!X29,X$5,X$4)</f>
        <v>1.558404837</v>
      </c>
      <c r="Y34" s="15">
        <f>STANDARDIZE(redflag_questions!Y29,Y$5,Y$4)</f>
        <v>0.7636366917</v>
      </c>
      <c r="Z34" s="15">
        <f>STANDARDIZE(redflag_questions!Z29,Z$5,Z$4)</f>
        <v>1.74422783</v>
      </c>
    </row>
    <row r="35">
      <c r="A35" s="11" t="str">
        <f>redflag_questions!A30</f>
        <v>Sie redet ohne Grund von selbst bei den Treffen häufig über Ihren Exfreund.</v>
      </c>
      <c r="B35" s="18">
        <f>redflag_questions!B30</f>
        <v>5.87</v>
      </c>
      <c r="C35" s="15">
        <f>STANDARDIZE(redflag_questions!C30,C$5,C$4)</f>
        <v>1.283969812</v>
      </c>
      <c r="D35" s="15">
        <f>STANDARDIZE(redflag_questions!D30,D$5,D$4)</f>
        <v>0.3477798646</v>
      </c>
      <c r="E35" s="15">
        <f>STANDARDIZE(redflag_questions!E30,E$5,E$4)</f>
        <v>0.8207013154</v>
      </c>
      <c r="F35" s="15">
        <f>STANDARDIZE(redflag_questions!F30,F$5,F$4)</f>
        <v>1.335992568</v>
      </c>
      <c r="G35" s="15">
        <f>STANDARDIZE(redflag_questions!G30,G$5,G$4)</f>
        <v>0.6147371107</v>
      </c>
      <c r="H35" s="15">
        <f>STANDARDIZE(redflag_questions!H30,H$5,H$4)</f>
        <v>0.7400417214</v>
      </c>
      <c r="I35" s="15">
        <f>STANDARDIZE(redflag_questions!I30,I$5,I$4)</f>
        <v>0.8641030409</v>
      </c>
      <c r="J35" s="15">
        <f>STANDARDIZE(redflag_questions!J30,J$5,J$4)</f>
        <v>-0.3795148309</v>
      </c>
      <c r="K35" s="15">
        <f>STANDARDIZE(redflag_questions!K30,K$5,K$4)</f>
        <v>0.9201622566</v>
      </c>
      <c r="L35" s="15">
        <f>STANDARDIZE(redflag_questions!L30,L$5,L$4)</f>
        <v>1.100748063</v>
      </c>
      <c r="M35" s="15">
        <f>STANDARDIZE(redflag_questions!M30,M$5,M$4)</f>
        <v>-0.1142930036</v>
      </c>
      <c r="N35" s="15">
        <f>STANDARDIZE(redflag_questions!N30,N$5,N$4)</f>
        <v>0.09659394696</v>
      </c>
      <c r="O35" s="15">
        <f>STANDARDIZE(redflag_questions!O30,O$5,O$4)</f>
        <v>1.141002022</v>
      </c>
      <c r="P35" s="15">
        <f>STANDARDIZE(redflag_questions!P30,P$5,P$4)</f>
        <v>0.4025000513</v>
      </c>
      <c r="Q35" s="15">
        <f>STANDARDIZE(redflag_questions!Q30,Q$5,Q$4)</f>
        <v>1.26181414</v>
      </c>
      <c r="R35" s="15">
        <f>STANDARDIZE(redflag_questions!R30,R$5,R$4)</f>
        <v>0.9640348075</v>
      </c>
      <c r="S35" s="15">
        <f>STANDARDIZE(redflag_questions!S30,S$5,S$4)</f>
        <v>1.009687589</v>
      </c>
      <c r="T35" s="15">
        <f>STANDARDIZE(redflag_questions!T30,T$5,T$4)</f>
        <v>0.1797192762</v>
      </c>
      <c r="U35" s="15">
        <f>STANDARDIZE(redflag_questions!U30,U$5,U$4)</f>
        <v>-0.02409305846</v>
      </c>
      <c r="V35" s="15">
        <f>STANDARDIZE(redflag_questions!V30,V$5,V$4)</f>
        <v>0.7995950623</v>
      </c>
      <c r="W35" s="15">
        <f>STANDARDIZE(redflag_questions!W30,W$5,W$4)</f>
        <v>0.628247531</v>
      </c>
      <c r="X35" s="15">
        <f>STANDARDIZE(redflag_questions!X30,X$5,X$4)</f>
        <v>-0.1186864611</v>
      </c>
      <c r="Y35" s="15">
        <f>STANDARDIZE(redflag_questions!Y30,Y$5,Y$4)</f>
        <v>0.3320159529</v>
      </c>
      <c r="Z35" s="15">
        <f>STANDARDIZE(redflag_questions!Z30,Z$5,Z$4)</f>
        <v>0.861933597</v>
      </c>
    </row>
    <row r="36">
      <c r="A36" s="11" t="str">
        <f>redflag_questions!A31</f>
        <v>Sie ist Drogen oder Medikamenten Abhängig z.B. trinkt sehr häufig Alkohol Schlaftabletten Antidepressiva etc.</v>
      </c>
      <c r="B36" s="18">
        <f>redflag_questions!B31</f>
        <v>5.86</v>
      </c>
      <c r="C36" s="15">
        <f>STANDARDIZE(redflag_questions!C31,C$5,C$4)</f>
        <v>0.1484863048</v>
      </c>
      <c r="D36" s="15">
        <f>STANDARDIZE(redflag_questions!D31,D$5,D$4)</f>
        <v>1.054207714</v>
      </c>
      <c r="E36" s="15">
        <f>STANDARDIZE(redflag_questions!E31,E$5,E$4)</f>
        <v>1.254405262</v>
      </c>
      <c r="F36" s="15">
        <f>STANDARDIZE(redflag_questions!F31,F$5,F$4)</f>
        <v>1.335992568</v>
      </c>
      <c r="G36" s="15">
        <f>STANDARDIZE(redflag_questions!G31,G$5,G$4)</f>
        <v>1.21112386</v>
      </c>
      <c r="H36" s="15">
        <f>STANDARDIZE(redflag_questions!H31,H$5,H$4)</f>
        <v>1.235945968</v>
      </c>
      <c r="I36" s="15">
        <f>STANDARDIZE(redflag_questions!I31,I$5,I$4)</f>
        <v>0.8641030409</v>
      </c>
      <c r="J36" s="15">
        <f>STANDARDIZE(redflag_questions!J31,J$5,J$4)</f>
        <v>1.676190503</v>
      </c>
      <c r="K36" s="15">
        <f>STANDARDIZE(redflag_questions!K31,K$5,K$4)</f>
        <v>0.9201622566</v>
      </c>
      <c r="L36" s="15">
        <f>STANDARDIZE(redflag_questions!L31,L$5,L$4)</f>
        <v>1.100748063</v>
      </c>
      <c r="M36" s="15">
        <f>STANDARDIZE(redflag_questions!M31,M$5,M$4)</f>
        <v>1.000063782</v>
      </c>
      <c r="N36" s="15">
        <f>STANDARDIZE(redflag_questions!N31,N$5,N$4)</f>
        <v>1.143028372</v>
      </c>
      <c r="O36" s="15">
        <f>STANDARDIZE(redflag_questions!O31,O$5,O$4)</f>
        <v>0.7626084941</v>
      </c>
      <c r="P36" s="15">
        <f>STANDARDIZE(redflag_questions!P31,P$5,P$4)</f>
        <v>0.4025000513</v>
      </c>
      <c r="Q36" s="15">
        <f>STANDARDIZE(redflag_questions!Q31,Q$5,Q$4)</f>
        <v>0.5391893023</v>
      </c>
      <c r="R36" s="15">
        <f>STANDARDIZE(redflag_questions!R31,R$5,R$4)</f>
        <v>-0.2182720319</v>
      </c>
      <c r="S36" s="15">
        <f>STANDARDIZE(redflag_questions!S31,S$5,S$4)</f>
        <v>1.43039075</v>
      </c>
      <c r="T36" s="15">
        <f>STANDARDIZE(redflag_questions!T31,T$5,T$4)</f>
        <v>0.909828836</v>
      </c>
      <c r="U36" s="15">
        <f>STANDARDIZE(redflag_questions!U31,U$5,U$4)</f>
        <v>0.4979232081</v>
      </c>
      <c r="V36" s="15">
        <f>STANDARDIZE(redflag_questions!V31,V$5,V$4)</f>
        <v>0.7995950623</v>
      </c>
      <c r="W36" s="15">
        <f>STANDARDIZE(redflag_questions!W31,W$5,W$4)</f>
        <v>1.067345268</v>
      </c>
      <c r="X36" s="15">
        <f>STANDARDIZE(redflag_questions!X31,X$5,X$4)</f>
        <v>0.2167317986</v>
      </c>
      <c r="Y36" s="15">
        <f>STANDARDIZE(redflag_questions!Y31,Y$5,Y$4)</f>
        <v>1.195257431</v>
      </c>
      <c r="Z36" s="15">
        <f>STANDARDIZE(redflag_questions!Z31,Z$5,Z$4)</f>
        <v>0.861933597</v>
      </c>
    </row>
    <row r="37">
      <c r="A37" s="11" t="str">
        <f>redflag_questions!A32</f>
        <v>Sie kann schlecht mit Geld umgehen.</v>
      </c>
      <c r="B37" s="18">
        <f>redflag_questions!B32</f>
        <v>5.96</v>
      </c>
      <c r="C37" s="15">
        <f>STANDARDIZE(redflag_questions!C32,C$5,C$4)</f>
        <v>0.7162280585</v>
      </c>
      <c r="D37" s="15">
        <f>STANDARDIZE(redflag_questions!D32,D$5,D$4)</f>
        <v>0.3477798646</v>
      </c>
      <c r="E37" s="15">
        <f>STANDARDIZE(redflag_questions!E32,E$5,E$4)</f>
        <v>-0.04670657892</v>
      </c>
      <c r="F37" s="15">
        <f>STANDARDIZE(redflag_questions!F32,F$5,F$4)</f>
        <v>-0.07221581447</v>
      </c>
      <c r="G37" s="15">
        <f>STANDARDIZE(redflag_questions!G32,G$5,G$4)</f>
        <v>0.6147371107</v>
      </c>
      <c r="H37" s="15">
        <f>STANDARDIZE(redflag_questions!H32,H$5,H$4)</f>
        <v>0.7400417214</v>
      </c>
      <c r="I37" s="15">
        <f>STANDARDIZE(redflag_questions!I32,I$5,I$4)</f>
        <v>0.8641030409</v>
      </c>
      <c r="J37" s="15">
        <f>STANDARDIZE(redflag_questions!J32,J$5,J$4)</f>
        <v>0.4427673027</v>
      </c>
      <c r="K37" s="15">
        <f>STANDARDIZE(redflag_questions!K32,K$5,K$4)</f>
        <v>0.2206236989</v>
      </c>
      <c r="L37" s="15">
        <f>STANDARDIZE(redflag_questions!L32,L$5,L$4)</f>
        <v>-1.149208669</v>
      </c>
      <c r="M37" s="15">
        <f>STANDARDIZE(redflag_questions!M32,M$5,M$4)</f>
        <v>1.371516043</v>
      </c>
      <c r="N37" s="15">
        <f>STANDARDIZE(redflag_questions!N32,N$5,N$4)</f>
        <v>-1.996274904</v>
      </c>
      <c r="O37" s="15">
        <f>STANDARDIZE(redflag_questions!O32,O$5,O$4)</f>
        <v>-1.507752672</v>
      </c>
      <c r="P37" s="15">
        <f>STANDARDIZE(redflag_questions!P32,P$5,P$4)</f>
        <v>0.8112891659</v>
      </c>
      <c r="Q37" s="15">
        <f>STANDARDIZE(redflag_questions!Q32,Q$5,Q$4)</f>
        <v>0.1778768832</v>
      </c>
      <c r="R37" s="15">
        <f>STANDARDIZE(redflag_questions!R32,R$5,R$4)</f>
        <v>-0.2182720319</v>
      </c>
      <c r="S37" s="15">
        <f>STANDARDIZE(redflag_questions!S32,S$5,S$4)</f>
        <v>0.5889844267</v>
      </c>
      <c r="T37" s="15">
        <f>STANDARDIZE(redflag_questions!T32,T$5,T$4)</f>
        <v>0.1797192762</v>
      </c>
      <c r="U37" s="15">
        <f>STANDARDIZE(redflag_questions!U32,U$5,U$4)</f>
        <v>-0.546109325</v>
      </c>
      <c r="V37" s="15">
        <f>STANDARDIZE(redflag_questions!V32,V$5,V$4)</f>
        <v>-0.2329945877</v>
      </c>
      <c r="W37" s="15">
        <f>STANDARDIZE(redflag_questions!W32,W$5,W$4)</f>
        <v>0.1891497943</v>
      </c>
      <c r="X37" s="15">
        <f>STANDARDIZE(redflag_questions!X32,X$5,X$4)</f>
        <v>-1.12494124</v>
      </c>
      <c r="Y37" s="15">
        <f>STANDARDIZE(redflag_questions!Y32,Y$5,Y$4)</f>
        <v>0.7636366917</v>
      </c>
      <c r="Z37" s="15">
        <f>STANDARDIZE(redflag_questions!Z32,Z$5,Z$4)</f>
        <v>-0.9026548693</v>
      </c>
    </row>
    <row r="38">
      <c r="A38" s="11" t="str">
        <f>redflag_questions!A33</f>
        <v>Sie ist im allgemeinen sehr verwöhnt und möchte häufig wie eine Prinzessin gehandelt werden.</v>
      </c>
      <c r="B38" s="18">
        <f>redflag_questions!B33</f>
        <v>6</v>
      </c>
      <c r="C38" s="15">
        <f>STANDARDIZE(redflag_questions!C33,C$5,C$4)</f>
        <v>-0.4192554489</v>
      </c>
      <c r="D38" s="15">
        <f>STANDARDIZE(redflag_questions!D33,D$5,D$4)</f>
        <v>-0.7118619103</v>
      </c>
      <c r="E38" s="15">
        <f>STANDARDIZE(redflag_questions!E33,E$5,E$4)</f>
        <v>-0.4804105261</v>
      </c>
      <c r="F38" s="15">
        <f>STANDARDIZE(redflag_questions!F33,F$5,F$4)</f>
        <v>0.8665897736</v>
      </c>
      <c r="G38" s="15">
        <f>STANDARDIZE(redflag_questions!G33,G$5,G$4)</f>
        <v>0.6147371107</v>
      </c>
      <c r="H38" s="15">
        <f>STANDARDIZE(redflag_questions!H33,H$5,H$4)</f>
        <v>-0.2517667712</v>
      </c>
      <c r="I38" s="15">
        <f>STANDARDIZE(redflag_questions!I33,I$5,I$4)</f>
        <v>0.8641030409</v>
      </c>
      <c r="J38" s="15">
        <f>STANDARDIZE(redflag_questions!J33,J$5,J$4)</f>
        <v>0.4427673027</v>
      </c>
      <c r="K38" s="15">
        <f>STANDARDIZE(redflag_questions!K33,K$5,K$4)</f>
        <v>0.9201622566</v>
      </c>
      <c r="L38" s="15">
        <f>STANDARDIZE(redflag_questions!L33,L$5,L$4)</f>
        <v>0.2007653699</v>
      </c>
      <c r="M38" s="15">
        <f>STANDARDIZE(redflag_questions!M33,M$5,M$4)</f>
        <v>1.371516043</v>
      </c>
      <c r="N38" s="15">
        <f>STANDARDIZE(redflag_questions!N33,N$5,N$4)</f>
        <v>0.09659394696</v>
      </c>
      <c r="O38" s="15">
        <f>STANDARDIZE(redflag_questions!O33,O$5,O$4)</f>
        <v>0.005821438886</v>
      </c>
      <c r="P38" s="15">
        <f>STANDARDIZE(redflag_questions!P33,P$5,P$4)</f>
        <v>0.8112891659</v>
      </c>
      <c r="Q38" s="15">
        <f>STANDARDIZE(redflag_questions!Q33,Q$5,Q$4)</f>
        <v>0.9005017213</v>
      </c>
      <c r="R38" s="15">
        <f>STANDARDIZE(redflag_questions!R33,R$5,R$4)</f>
        <v>0.9640348075</v>
      </c>
      <c r="S38" s="15">
        <f>STANDARDIZE(redflag_questions!S33,S$5,S$4)</f>
        <v>0.1682812648</v>
      </c>
      <c r="T38" s="15">
        <f>STANDARDIZE(redflag_questions!T33,T$5,T$4)</f>
        <v>0.909828836</v>
      </c>
      <c r="U38" s="15">
        <f>STANDARDIZE(redflag_questions!U33,U$5,U$4)</f>
        <v>-1.068125592</v>
      </c>
      <c r="V38" s="15">
        <f>STANDARDIZE(redflag_questions!V33,V$5,V$4)</f>
        <v>1.143791612</v>
      </c>
      <c r="W38" s="15">
        <f>STANDARDIZE(redflag_questions!W33,W$5,W$4)</f>
        <v>0.628247531</v>
      </c>
      <c r="X38" s="15">
        <f>STANDARDIZE(redflag_questions!X33,X$5,X$4)</f>
        <v>1.222986578</v>
      </c>
      <c r="Y38" s="15">
        <f>STANDARDIZE(redflag_questions!Y33,Y$5,Y$4)</f>
        <v>0.7636366917</v>
      </c>
      <c r="Z38" s="15">
        <f>STANDARDIZE(redflag_questions!Z33,Z$5,Z$4)</f>
        <v>-0.4615077527</v>
      </c>
    </row>
    <row r="39">
      <c r="A39" s="11" t="str">
        <f>redflag_questions!A34</f>
        <v>Sie hat einen verfrühten Babywunsch für Ihr Alter.</v>
      </c>
      <c r="B39" s="18">
        <f>redflag_questions!B34</f>
        <v>5.5</v>
      </c>
      <c r="C39" s="15">
        <f>STANDARDIZE(redflag_questions!C34,C$5,C$4)</f>
        <v>-2.12248071</v>
      </c>
      <c r="D39" s="15">
        <f>STANDARDIZE(redflag_questions!D34,D$5,D$4)</f>
        <v>-2.12471761</v>
      </c>
      <c r="E39" s="15">
        <f>STANDARDIZE(redflag_questions!E34,E$5,E$4)</f>
        <v>-0.9141144732</v>
      </c>
      <c r="F39" s="15">
        <f>STANDARDIZE(redflag_questions!F34,F$5,F$4)</f>
        <v>0.8665897736</v>
      </c>
      <c r="G39" s="15">
        <f>STANDARDIZE(redflag_questions!G34,G$5,G$4)</f>
        <v>0.6147371107</v>
      </c>
      <c r="H39" s="15">
        <f>STANDARDIZE(redflag_questions!H34,H$5,H$4)</f>
        <v>0.2441374751</v>
      </c>
      <c r="I39" s="15">
        <f>STANDARDIZE(redflag_questions!I34,I$5,I$4)</f>
        <v>-0.104288298</v>
      </c>
      <c r="J39" s="15">
        <f>STANDARDIZE(redflag_questions!J34,J$5,J$4)</f>
        <v>-1.201796965</v>
      </c>
      <c r="K39" s="15">
        <f>STANDARDIZE(redflag_questions!K34,K$5,K$4)</f>
        <v>-1.178453416</v>
      </c>
      <c r="L39" s="15">
        <f>STANDARDIZE(redflag_questions!L34,L$5,L$4)</f>
        <v>0.6507567163</v>
      </c>
      <c r="M39" s="15">
        <f>STANDARDIZE(redflag_questions!M34,M$5,M$4)</f>
        <v>-0.1142930036</v>
      </c>
      <c r="N39" s="15">
        <f>STANDARDIZE(redflag_questions!N34,N$5,N$4)</f>
        <v>0.6198111596</v>
      </c>
      <c r="O39" s="15">
        <f>STANDARDIZE(redflag_questions!O34,O$5,O$4)</f>
        <v>0.3842149665</v>
      </c>
      <c r="P39" s="15">
        <f>STANDARDIZE(redflag_questions!P34,P$5,P$4)</f>
        <v>1.628867395</v>
      </c>
      <c r="Q39" s="15">
        <f>STANDARDIZE(redflag_questions!Q34,Q$5,Q$4)</f>
        <v>-1.628685212</v>
      </c>
      <c r="R39" s="15">
        <f>STANDARDIZE(redflag_questions!R34,R$5,R$4)</f>
        <v>0.9640348075</v>
      </c>
      <c r="S39" s="15">
        <f>STANDARDIZE(redflag_questions!S34,S$5,S$4)</f>
        <v>-1.093828221</v>
      </c>
      <c r="T39" s="15">
        <f>STANDARDIZE(redflag_questions!T34,T$5,T$4)</f>
        <v>-2.740718963</v>
      </c>
      <c r="U39" s="15">
        <f>STANDARDIZE(redflag_questions!U34,U$5,U$4)</f>
        <v>-0.546109325</v>
      </c>
      <c r="V39" s="15">
        <f>STANDARDIZE(redflag_questions!V34,V$5,V$4)</f>
        <v>0.7995950623</v>
      </c>
      <c r="W39" s="15">
        <f>STANDARDIZE(redflag_questions!W34,W$5,W$4)</f>
        <v>-0.6890456792</v>
      </c>
      <c r="X39" s="15">
        <f>STANDARDIZE(redflag_questions!X34,X$5,X$4)</f>
        <v>-1.12494124</v>
      </c>
      <c r="Y39" s="15">
        <f>STANDARDIZE(redflag_questions!Y34,Y$5,Y$4)</f>
        <v>1.195257431</v>
      </c>
      <c r="Z39" s="15">
        <f>STANDARDIZE(redflag_questions!Z34,Z$5,Z$4)</f>
        <v>-0.4615077527</v>
      </c>
    </row>
    <row r="40">
      <c r="A40" s="11" t="str">
        <f>redflag_questions!A35</f>
        <v>Sie lügt häufig und entschuldigt sich dafür nicht.</v>
      </c>
      <c r="B40" s="18">
        <f>redflag_questions!B35</f>
        <v>5.92</v>
      </c>
      <c r="C40" s="15">
        <f>STANDARDIZE(redflag_questions!C35,C$5,C$4)</f>
        <v>0.7162280585</v>
      </c>
      <c r="D40" s="15">
        <f>STANDARDIZE(redflag_questions!D35,D$5,D$4)</f>
        <v>1.054207714</v>
      </c>
      <c r="E40" s="15">
        <f>STANDARDIZE(redflag_questions!E35,E$5,E$4)</f>
        <v>0.8207013154</v>
      </c>
      <c r="F40" s="15">
        <f>STANDARDIZE(redflag_questions!F35,F$5,F$4)</f>
        <v>1.805395362</v>
      </c>
      <c r="G40" s="15">
        <f>STANDARDIZE(redflag_questions!G35,G$5,G$4)</f>
        <v>1.21112386</v>
      </c>
      <c r="H40" s="15">
        <f>STANDARDIZE(redflag_questions!H35,H$5,H$4)</f>
        <v>1.235945968</v>
      </c>
      <c r="I40" s="15">
        <f>STANDARDIZE(redflag_questions!I35,I$5,I$4)</f>
        <v>1.34829871</v>
      </c>
      <c r="J40" s="15">
        <f>STANDARDIZE(redflag_questions!J35,J$5,J$4)</f>
        <v>0.03162623591</v>
      </c>
      <c r="K40" s="15">
        <f>STANDARDIZE(redflag_questions!K35,K$5,K$4)</f>
        <v>0.9201622566</v>
      </c>
      <c r="L40" s="15">
        <f>STANDARDIZE(redflag_questions!L35,L$5,L$4)</f>
        <v>1.100748063</v>
      </c>
      <c r="M40" s="15">
        <f>STANDARDIZE(redflag_questions!M35,M$5,M$4)</f>
        <v>1.371516043</v>
      </c>
      <c r="N40" s="15">
        <f>STANDARDIZE(redflag_questions!N35,N$5,N$4)</f>
        <v>0.6198111596</v>
      </c>
      <c r="O40" s="15">
        <f>STANDARDIZE(redflag_questions!O35,O$5,O$4)</f>
        <v>0.7626084941</v>
      </c>
      <c r="P40" s="15">
        <f>STANDARDIZE(redflag_questions!P35,P$5,P$4)</f>
        <v>1.22007828</v>
      </c>
      <c r="Q40" s="15">
        <f>STANDARDIZE(redflag_questions!Q35,Q$5,Q$4)</f>
        <v>1.26181414</v>
      </c>
      <c r="R40" s="15">
        <f>STANDARDIZE(redflag_questions!R35,R$5,R$4)</f>
        <v>1.555188227</v>
      </c>
      <c r="S40" s="15">
        <f>STANDARDIZE(redflag_questions!S35,S$5,S$4)</f>
        <v>0.5889844267</v>
      </c>
      <c r="T40" s="15">
        <f>STANDARDIZE(redflag_questions!T35,T$5,T$4)</f>
        <v>1.639938396</v>
      </c>
      <c r="U40" s="15">
        <f>STANDARDIZE(redflag_questions!U35,U$5,U$4)</f>
        <v>0.4979232081</v>
      </c>
      <c r="V40" s="15">
        <f>STANDARDIZE(redflag_questions!V35,V$5,V$4)</f>
        <v>1.487988162</v>
      </c>
      <c r="W40" s="15">
        <f>STANDARDIZE(redflag_questions!W35,W$5,W$4)</f>
        <v>1.067345268</v>
      </c>
      <c r="X40" s="15">
        <f>STANDARDIZE(redflag_questions!X35,X$5,X$4)</f>
        <v>1.558404837</v>
      </c>
      <c r="Y40" s="15">
        <f>STANDARDIZE(redflag_questions!Y35,Y$5,Y$4)</f>
        <v>0.7636366917</v>
      </c>
      <c r="Z40" s="15">
        <f>STANDARDIZE(redflag_questions!Z35,Z$5,Z$4)</f>
        <v>1.303080714</v>
      </c>
    </row>
    <row r="41">
      <c r="A41" s="11" t="str">
        <f>redflag_questions!A36</f>
        <v>Sie ruft ab und zu Unsicherheiten in dir hervor.</v>
      </c>
      <c r="B41" s="18">
        <f>redflag_questions!B36</f>
        <v>4.58</v>
      </c>
      <c r="C41" s="15">
        <f>STANDARDIZE(redflag_questions!C36,C$5,C$4)</f>
        <v>1.283969812</v>
      </c>
      <c r="D41" s="15">
        <f>STANDARDIZE(redflag_questions!D36,D$5,D$4)</f>
        <v>1.054207714</v>
      </c>
      <c r="E41" s="15">
        <f>STANDARDIZE(redflag_questions!E36,E$5,E$4)</f>
        <v>-0.9141144732</v>
      </c>
      <c r="F41" s="15">
        <f>STANDARDIZE(redflag_questions!F36,F$5,F$4)</f>
        <v>-0.07221581447</v>
      </c>
      <c r="G41" s="15">
        <f>STANDARDIZE(redflag_questions!G36,G$5,G$4)</f>
        <v>-0.5780363877</v>
      </c>
      <c r="H41" s="15">
        <f>STANDARDIZE(redflag_questions!H36,H$5,H$4)</f>
        <v>-0.2517667712</v>
      </c>
      <c r="I41" s="15">
        <f>STANDARDIZE(redflag_questions!I36,I$5,I$4)</f>
        <v>-0.104288298</v>
      </c>
      <c r="J41" s="15">
        <f>STANDARDIZE(redflag_questions!J36,J$5,J$4)</f>
        <v>0.03162623591</v>
      </c>
      <c r="K41" s="15">
        <f>STANDARDIZE(redflag_questions!K36,K$5,K$4)</f>
        <v>-0.4789148587</v>
      </c>
      <c r="L41" s="15">
        <f>STANDARDIZE(redflag_questions!L36,L$5,L$4)</f>
        <v>-0.2492259765</v>
      </c>
      <c r="M41" s="15">
        <f>STANDARDIZE(redflag_questions!M36,M$5,M$4)</f>
        <v>-1.228649789</v>
      </c>
      <c r="N41" s="15">
        <f>STANDARDIZE(redflag_questions!N36,N$5,N$4)</f>
        <v>0.09659394696</v>
      </c>
      <c r="O41" s="15">
        <f>STANDARDIZE(redflag_questions!O36,O$5,O$4)</f>
        <v>0.7626084941</v>
      </c>
      <c r="P41" s="15">
        <f>STANDARDIZE(redflag_questions!P36,P$5,P$4)</f>
        <v>-0.8238672925</v>
      </c>
      <c r="Q41" s="15">
        <f>STANDARDIZE(redflag_questions!Q36,Q$5,Q$4)</f>
        <v>1.26181414</v>
      </c>
      <c r="R41" s="15">
        <f>STANDARDIZE(redflag_questions!R36,R$5,R$4)</f>
        <v>-0.2182720319</v>
      </c>
      <c r="S41" s="15">
        <f>STANDARDIZE(redflag_questions!S36,S$5,S$4)</f>
        <v>-0.6731250591</v>
      </c>
      <c r="T41" s="15">
        <f>STANDARDIZE(redflag_questions!T36,T$5,T$4)</f>
        <v>-1.280499843</v>
      </c>
      <c r="U41" s="15">
        <f>STANDARDIZE(redflag_questions!U36,U$5,U$4)</f>
        <v>-1.068125592</v>
      </c>
      <c r="V41" s="15">
        <f>STANDARDIZE(redflag_questions!V36,V$5,V$4)</f>
        <v>-0.5771911377</v>
      </c>
      <c r="W41" s="15">
        <f>STANDARDIZE(redflag_questions!W36,W$5,W$4)</f>
        <v>-1.567241153</v>
      </c>
      <c r="X41" s="15">
        <f>STANDARDIZE(redflag_questions!X36,X$5,X$4)</f>
        <v>-1.4603595</v>
      </c>
      <c r="Y41" s="15">
        <f>STANDARDIZE(redflag_questions!Y36,Y$5,Y$4)</f>
        <v>-0.5312255247</v>
      </c>
      <c r="Z41" s="15">
        <f>STANDARDIZE(redflag_questions!Z36,Z$5,Z$4)</f>
        <v>-1.784949102</v>
      </c>
    </row>
    <row r="42">
      <c r="A42" s="11" t="str">
        <f>redflag_questions!A37</f>
        <v>Sie vermittelt dir den Glauben - Sie ist der Preis / wertvoll - du aber eher nicht.</v>
      </c>
      <c r="B42" s="18">
        <f>redflag_questions!B37</f>
        <v>5.41</v>
      </c>
      <c r="C42" s="15">
        <f>STANDARDIZE(redflag_questions!C37,C$5,C$4)</f>
        <v>0.7162280585</v>
      </c>
      <c r="D42" s="15">
        <f>STANDARDIZE(redflag_questions!D37,D$5,D$4)</f>
        <v>-1.771503685</v>
      </c>
      <c r="E42" s="15">
        <f>STANDARDIZE(redflag_questions!E37,E$5,E$4)</f>
        <v>0.8207013154</v>
      </c>
      <c r="F42" s="15">
        <f>STANDARDIZE(redflag_questions!F37,F$5,F$4)</f>
        <v>0.8665897736</v>
      </c>
      <c r="G42" s="15">
        <f>STANDARDIZE(redflag_questions!G37,G$5,G$4)</f>
        <v>1.807510609</v>
      </c>
      <c r="H42" s="15">
        <f>STANDARDIZE(redflag_questions!H37,H$5,H$4)</f>
        <v>0.2441374751</v>
      </c>
      <c r="I42" s="15">
        <f>STANDARDIZE(redflag_questions!I37,I$5,I$4)</f>
        <v>1.34829871</v>
      </c>
      <c r="J42" s="15">
        <f>STANDARDIZE(redflag_questions!J37,J$5,J$4)</f>
        <v>0.8539083696</v>
      </c>
      <c r="K42" s="15">
        <f>STANDARDIZE(redflag_questions!K37,K$5,K$4)</f>
        <v>0.9201622566</v>
      </c>
      <c r="L42" s="15">
        <f>STANDARDIZE(redflag_questions!L37,L$5,L$4)</f>
        <v>1.100748063</v>
      </c>
      <c r="M42" s="15">
        <f>STANDARDIZE(redflag_questions!M37,M$5,M$4)</f>
        <v>-0.4857452654</v>
      </c>
      <c r="N42" s="15">
        <f>STANDARDIZE(redflag_questions!N37,N$5,N$4)</f>
        <v>1.666245585</v>
      </c>
      <c r="O42" s="15">
        <f>STANDARDIZE(redflag_questions!O37,O$5,O$4)</f>
        <v>0.7626084941</v>
      </c>
      <c r="P42" s="15">
        <f>STANDARDIZE(redflag_questions!P37,P$5,P$4)</f>
        <v>0.8112891659</v>
      </c>
      <c r="Q42" s="15">
        <f>STANDARDIZE(redflag_questions!Q37,Q$5,Q$4)</f>
        <v>0.9005017213</v>
      </c>
      <c r="R42" s="15">
        <f>STANDARDIZE(redflag_questions!R37,R$5,R$4)</f>
        <v>1.555188227</v>
      </c>
      <c r="S42" s="15">
        <f>STANDARDIZE(redflag_questions!S37,S$5,S$4)</f>
        <v>0.5889844267</v>
      </c>
      <c r="T42" s="15">
        <f>STANDARDIZE(redflag_questions!T37,T$5,T$4)</f>
        <v>0.909828836</v>
      </c>
      <c r="U42" s="15">
        <f>STANDARDIZE(redflag_questions!U37,U$5,U$4)</f>
        <v>-0.02409305846</v>
      </c>
      <c r="V42" s="15">
        <f>STANDARDIZE(redflag_questions!V37,V$5,V$4)</f>
        <v>1.487988162</v>
      </c>
      <c r="W42" s="15">
        <f>STANDARDIZE(redflag_questions!W37,W$5,W$4)</f>
        <v>0.628247531</v>
      </c>
      <c r="X42" s="15">
        <f>STANDARDIZE(redflag_questions!X37,X$5,X$4)</f>
        <v>1.222986578</v>
      </c>
      <c r="Y42" s="15">
        <f>STANDARDIZE(redflag_questions!Y37,Y$5,Y$4)</f>
        <v>0.3320159529</v>
      </c>
      <c r="Z42" s="15">
        <f>STANDARDIZE(redflag_questions!Z37,Z$5,Z$4)</f>
        <v>0.861933597</v>
      </c>
    </row>
    <row r="43">
      <c r="A43" s="11" t="str">
        <f>redflag_questions!A38</f>
        <v>Sie nutzt Intimität als Belohnung aus.</v>
      </c>
      <c r="B43" s="18">
        <f>redflag_questions!B38</f>
        <v>5.6</v>
      </c>
      <c r="C43" s="15">
        <f>STANDARDIZE(redflag_questions!C38,C$5,C$4)</f>
        <v>0.1484863048</v>
      </c>
      <c r="D43" s="15">
        <f>STANDARDIZE(redflag_questions!D38,D$5,D$4)</f>
        <v>1.054207714</v>
      </c>
      <c r="E43" s="15">
        <f>STANDARDIZE(redflag_questions!E38,E$5,E$4)</f>
        <v>1.254405262</v>
      </c>
      <c r="F43" s="15">
        <f>STANDARDIZE(redflag_questions!F38,F$5,F$4)</f>
        <v>0.8665897736</v>
      </c>
      <c r="G43" s="15">
        <f>STANDARDIZE(redflag_questions!G38,G$5,G$4)</f>
        <v>0.01835036151</v>
      </c>
      <c r="H43" s="15">
        <f>STANDARDIZE(redflag_questions!H38,H$5,H$4)</f>
        <v>0.7400417214</v>
      </c>
      <c r="I43" s="15">
        <f>STANDARDIZE(redflag_questions!I38,I$5,I$4)</f>
        <v>0.8641030409</v>
      </c>
      <c r="J43" s="15">
        <f>STANDARDIZE(redflag_questions!J38,J$5,J$4)</f>
        <v>1.265049436</v>
      </c>
      <c r="K43" s="15">
        <f>STANDARDIZE(redflag_questions!K38,K$5,K$4)</f>
        <v>0.9201622566</v>
      </c>
      <c r="L43" s="15">
        <f>STANDARDIZE(redflag_questions!L38,L$5,L$4)</f>
        <v>1.100748063</v>
      </c>
      <c r="M43" s="15">
        <f>STANDARDIZE(redflag_questions!M38,M$5,M$4)</f>
        <v>1.000063782</v>
      </c>
      <c r="N43" s="15">
        <f>STANDARDIZE(redflag_questions!N38,N$5,N$4)</f>
        <v>0.09659394696</v>
      </c>
      <c r="O43" s="15">
        <f>STANDARDIZE(redflag_questions!O38,O$5,O$4)</f>
        <v>0.3842149665</v>
      </c>
      <c r="P43" s="15">
        <f>STANDARDIZE(redflag_questions!P38,P$5,P$4)</f>
        <v>-0.006289063301</v>
      </c>
      <c r="Q43" s="15">
        <f>STANDARDIZE(redflag_questions!Q38,Q$5,Q$4)</f>
        <v>0.9005017213</v>
      </c>
      <c r="R43" s="15">
        <f>STANDARDIZE(redflag_questions!R38,R$5,R$4)</f>
        <v>-0.2182720319</v>
      </c>
      <c r="S43" s="15">
        <f>STANDARDIZE(redflag_questions!S38,S$5,S$4)</f>
        <v>0.5889844267</v>
      </c>
      <c r="T43" s="15">
        <f>STANDARDIZE(redflag_questions!T38,T$5,T$4)</f>
        <v>0.909828836</v>
      </c>
      <c r="U43" s="15">
        <f>STANDARDIZE(redflag_questions!U38,U$5,U$4)</f>
        <v>-0.546109325</v>
      </c>
      <c r="V43" s="15">
        <f>STANDARDIZE(redflag_questions!V38,V$5,V$4)</f>
        <v>0.4553985123</v>
      </c>
      <c r="W43" s="15">
        <f>STANDARDIZE(redflag_questions!W38,W$5,W$4)</f>
        <v>-0.2499479424</v>
      </c>
      <c r="X43" s="15">
        <f>STANDARDIZE(redflag_questions!X38,X$5,X$4)</f>
        <v>1.558404837</v>
      </c>
      <c r="Y43" s="15">
        <f>STANDARDIZE(redflag_questions!Y38,Y$5,Y$4)</f>
        <v>1.195257431</v>
      </c>
      <c r="Z43" s="15">
        <f>STANDARDIZE(redflag_questions!Z38,Z$5,Z$4)</f>
        <v>0.861933597</v>
      </c>
    </row>
    <row r="44">
      <c r="A44" s="11" t="str">
        <f>redflag_questions!A39</f>
        <v>Sie stellt dich vor anderen Bloß wenn sie nicht in deinem Team mitspielt. Sie hält nicht zu dir in sozialen Situationen.</v>
      </c>
      <c r="B44" s="18">
        <f>redflag_questions!B39</f>
        <v>6.45</v>
      </c>
      <c r="C44" s="15">
        <f>STANDARDIZE(redflag_questions!C39,C$5,C$4)</f>
        <v>1.283969812</v>
      </c>
      <c r="D44" s="15">
        <f>STANDARDIZE(redflag_questions!D39,D$5,D$4)</f>
        <v>1.054207714</v>
      </c>
      <c r="E44" s="15">
        <f>STANDARDIZE(redflag_questions!E39,E$5,E$4)</f>
        <v>1.254405262</v>
      </c>
      <c r="F44" s="15">
        <f>STANDARDIZE(redflag_questions!F39,F$5,F$4)</f>
        <v>1.335992568</v>
      </c>
      <c r="G44" s="15">
        <f>STANDARDIZE(redflag_questions!G39,G$5,G$4)</f>
        <v>1.807510609</v>
      </c>
      <c r="H44" s="15">
        <f>STANDARDIZE(redflag_questions!H39,H$5,H$4)</f>
        <v>0.7400417214</v>
      </c>
      <c r="I44" s="15">
        <f>STANDARDIZE(redflag_questions!I39,I$5,I$4)</f>
        <v>0.3799073714</v>
      </c>
      <c r="J44" s="15">
        <f>STANDARDIZE(redflag_questions!J39,J$5,J$4)</f>
        <v>0.03162623591</v>
      </c>
      <c r="K44" s="15">
        <f>STANDARDIZE(redflag_questions!K39,K$5,K$4)</f>
        <v>1.269931535</v>
      </c>
      <c r="L44" s="15">
        <f>STANDARDIZE(redflag_questions!L39,L$5,L$4)</f>
        <v>1.100748063</v>
      </c>
      <c r="M44" s="15">
        <f>STANDARDIZE(redflag_questions!M39,M$5,M$4)</f>
        <v>1.371516043</v>
      </c>
      <c r="N44" s="15">
        <f>STANDARDIZE(redflag_questions!N39,N$5,N$4)</f>
        <v>1.143028372</v>
      </c>
      <c r="O44" s="15">
        <f>STANDARDIZE(redflag_questions!O39,O$5,O$4)</f>
        <v>1.141002022</v>
      </c>
      <c r="P44" s="15">
        <f>STANDARDIZE(redflag_questions!P39,P$5,P$4)</f>
        <v>-0.8238672925</v>
      </c>
      <c r="Q44" s="15">
        <f>STANDARDIZE(redflag_questions!Q39,Q$5,Q$4)</f>
        <v>1.26181414</v>
      </c>
      <c r="R44" s="15">
        <f>STANDARDIZE(redflag_questions!R39,R$5,R$4)</f>
        <v>0.3728813878</v>
      </c>
      <c r="S44" s="15">
        <f>STANDARDIZE(redflag_questions!S39,S$5,S$4)</f>
        <v>-0.6731250591</v>
      </c>
      <c r="T44" s="15">
        <f>STANDARDIZE(redflag_questions!T39,T$5,T$4)</f>
        <v>1.639938396</v>
      </c>
      <c r="U44" s="15">
        <f>STANDARDIZE(redflag_questions!U39,U$5,U$4)</f>
        <v>-1.068125592</v>
      </c>
      <c r="V44" s="15">
        <f>STANDARDIZE(redflag_questions!V39,V$5,V$4)</f>
        <v>0.1112019623</v>
      </c>
      <c r="W44" s="15">
        <f>STANDARDIZE(redflag_questions!W39,W$5,W$4)</f>
        <v>1.067345268</v>
      </c>
      <c r="X44" s="15">
        <f>STANDARDIZE(redflag_questions!X39,X$5,X$4)</f>
        <v>0.5521500582</v>
      </c>
      <c r="Y44" s="15">
        <f>STANDARDIZE(redflag_questions!Y39,Y$5,Y$4)</f>
        <v>0.7636366917</v>
      </c>
      <c r="Z44" s="15">
        <f>STANDARDIZE(redflag_questions!Z39,Z$5,Z$4)</f>
        <v>1.74422783</v>
      </c>
    </row>
    <row r="45">
      <c r="A45" s="11" t="str">
        <f>redflag_questions!A40</f>
        <v>Sie bestraft dich mit Stille ohne es dir vorher zu kommunizieren dass Sie Ruhe braucht.</v>
      </c>
      <c r="B45" s="18">
        <f>redflag_questions!B40</f>
        <v>5.83</v>
      </c>
      <c r="C45" s="15">
        <f>STANDARDIZE(redflag_questions!C40,C$5,C$4)</f>
        <v>1.283969812</v>
      </c>
      <c r="D45" s="15">
        <f>STANDARDIZE(redflag_questions!D40,D$5,D$4)</f>
        <v>0.7009937895</v>
      </c>
      <c r="E45" s="15">
        <f>STANDARDIZE(redflag_questions!E40,E$5,E$4)</f>
        <v>-0.4804105261</v>
      </c>
      <c r="F45" s="15">
        <f>STANDARDIZE(redflag_questions!F40,F$5,F$4)</f>
        <v>-0.07221581447</v>
      </c>
      <c r="G45" s="15">
        <f>STANDARDIZE(redflag_questions!G40,G$5,G$4)</f>
        <v>0.6147371107</v>
      </c>
      <c r="H45" s="15">
        <f>STANDARDIZE(redflag_questions!H40,H$5,H$4)</f>
        <v>0.7400417214</v>
      </c>
      <c r="I45" s="15">
        <f>STANDARDIZE(redflag_questions!I40,I$5,I$4)</f>
        <v>0.3799073714</v>
      </c>
      <c r="J45" s="15">
        <f>STANDARDIZE(redflag_questions!J40,J$5,J$4)</f>
        <v>1.676190503</v>
      </c>
      <c r="K45" s="15">
        <f>STANDARDIZE(redflag_questions!K40,K$5,K$4)</f>
        <v>0.5703929778</v>
      </c>
      <c r="L45" s="15">
        <f>STANDARDIZE(redflag_questions!L40,L$5,L$4)</f>
        <v>0.2007653699</v>
      </c>
      <c r="M45" s="15">
        <f>STANDARDIZE(redflag_questions!M40,M$5,M$4)</f>
        <v>1.371516043</v>
      </c>
      <c r="N45" s="15">
        <f>STANDARDIZE(redflag_questions!N40,N$5,N$4)</f>
        <v>0.09659394696</v>
      </c>
      <c r="O45" s="15">
        <f>STANDARDIZE(redflag_questions!O40,O$5,O$4)</f>
        <v>0.3842149665</v>
      </c>
      <c r="P45" s="15">
        <f>STANDARDIZE(redflag_questions!P40,P$5,P$4)</f>
        <v>0.4025000513</v>
      </c>
      <c r="Q45" s="15">
        <f>STANDARDIZE(redflag_questions!Q40,Q$5,Q$4)</f>
        <v>0.1778768832</v>
      </c>
      <c r="R45" s="15">
        <f>STANDARDIZE(redflag_questions!R40,R$5,R$4)</f>
        <v>1.555188227</v>
      </c>
      <c r="S45" s="15">
        <f>STANDARDIZE(redflag_questions!S40,S$5,S$4)</f>
        <v>0.5889844267</v>
      </c>
      <c r="T45" s="15">
        <f>STANDARDIZE(redflag_questions!T40,T$5,T$4)</f>
        <v>0.909828836</v>
      </c>
      <c r="U45" s="15">
        <f>STANDARDIZE(redflag_questions!U40,U$5,U$4)</f>
        <v>-0.546109325</v>
      </c>
      <c r="V45" s="15">
        <f>STANDARDIZE(redflag_questions!V40,V$5,V$4)</f>
        <v>1.143791612</v>
      </c>
      <c r="W45" s="15">
        <f>STANDARDIZE(redflag_questions!W40,W$5,W$4)</f>
        <v>-0.2499479424</v>
      </c>
      <c r="X45" s="15">
        <f>STANDARDIZE(redflag_questions!X40,X$5,X$4)</f>
        <v>-0.4541047208</v>
      </c>
      <c r="Y45" s="15">
        <f>STANDARDIZE(redflag_questions!Y40,Y$5,Y$4)</f>
        <v>0.3320159529</v>
      </c>
      <c r="Z45" s="15">
        <f>STANDARDIZE(redflag_questions!Z40,Z$5,Z$4)</f>
        <v>-1.343801986</v>
      </c>
    </row>
    <row r="46">
      <c r="A46" s="11" t="str">
        <f>redflag_questions!A41</f>
        <v>Sie trägt keine Verantwortung für Ihr Handeln und verdreht häufig die Realität.</v>
      </c>
      <c r="B46" s="18">
        <f>redflag_questions!B41</f>
        <v>5.51</v>
      </c>
      <c r="C46" s="15">
        <f>STANDARDIZE(redflag_questions!C41,C$5,C$4)</f>
        <v>0.1484863048</v>
      </c>
      <c r="D46" s="15">
        <f>STANDARDIZE(redflag_questions!D41,D$5,D$4)</f>
        <v>1.054207714</v>
      </c>
      <c r="E46" s="15">
        <f>STANDARDIZE(redflag_questions!E41,E$5,E$4)</f>
        <v>1.254405262</v>
      </c>
      <c r="F46" s="15">
        <f>STANDARDIZE(redflag_questions!F41,F$5,F$4)</f>
        <v>1.805395362</v>
      </c>
      <c r="G46" s="15">
        <f>STANDARDIZE(redflag_questions!G41,G$5,G$4)</f>
        <v>0.6147371107</v>
      </c>
      <c r="H46" s="15">
        <f>STANDARDIZE(redflag_questions!H41,H$5,H$4)</f>
        <v>0.7400417214</v>
      </c>
      <c r="I46" s="15">
        <f>STANDARDIZE(redflag_questions!I41,I$5,I$4)</f>
        <v>0.8641030409</v>
      </c>
      <c r="J46" s="15">
        <f>STANDARDIZE(redflag_questions!J41,J$5,J$4)</f>
        <v>1.265049436</v>
      </c>
      <c r="K46" s="15">
        <f>STANDARDIZE(redflag_questions!K41,K$5,K$4)</f>
        <v>0.9201622566</v>
      </c>
      <c r="L46" s="15">
        <f>STANDARDIZE(redflag_questions!L41,L$5,L$4)</f>
        <v>1.100748063</v>
      </c>
      <c r="M46" s="15">
        <f>STANDARDIZE(redflag_questions!M41,M$5,M$4)</f>
        <v>0.2571592581</v>
      </c>
      <c r="N46" s="15">
        <f>STANDARDIZE(redflag_questions!N41,N$5,N$4)</f>
        <v>0.6198111596</v>
      </c>
      <c r="O46" s="15">
        <f>STANDARDIZE(redflag_questions!O41,O$5,O$4)</f>
        <v>0.7626084941</v>
      </c>
      <c r="P46" s="15">
        <f>STANDARDIZE(redflag_questions!P41,P$5,P$4)</f>
        <v>1.22007828</v>
      </c>
      <c r="Q46" s="15">
        <f>STANDARDIZE(redflag_questions!Q41,Q$5,Q$4)</f>
        <v>0.5391893023</v>
      </c>
      <c r="R46" s="15">
        <f>STANDARDIZE(redflag_questions!R41,R$5,R$4)</f>
        <v>1.555188227</v>
      </c>
      <c r="S46" s="15">
        <f>STANDARDIZE(redflag_questions!S41,S$5,S$4)</f>
        <v>0.5889844267</v>
      </c>
      <c r="T46" s="15">
        <f>STANDARDIZE(redflag_questions!T41,T$5,T$4)</f>
        <v>0.909828836</v>
      </c>
      <c r="U46" s="15">
        <f>STANDARDIZE(redflag_questions!U41,U$5,U$4)</f>
        <v>-0.02409305846</v>
      </c>
      <c r="V46" s="15">
        <f>STANDARDIZE(redflag_questions!V41,V$5,V$4)</f>
        <v>1.143791612</v>
      </c>
      <c r="W46" s="15">
        <f>STANDARDIZE(redflag_questions!W41,W$5,W$4)</f>
        <v>0.628247531</v>
      </c>
      <c r="X46" s="15">
        <f>STANDARDIZE(redflag_questions!X41,X$5,X$4)</f>
        <v>0.2167317986</v>
      </c>
      <c r="Y46" s="15">
        <f>STANDARDIZE(redflag_questions!Y41,Y$5,Y$4)</f>
        <v>1.195257431</v>
      </c>
      <c r="Z46" s="15">
        <f>STANDARDIZE(redflag_questions!Z41,Z$5,Z$4)</f>
        <v>-0.4615077527</v>
      </c>
    </row>
    <row r="47">
      <c r="A47" s="11" t="str">
        <f>redflag_questions!A42</f>
        <v>Sie ist Trans oder Gender Fluid und kennt Ihre Identität nicht.</v>
      </c>
      <c r="B47" s="18">
        <f>redflag_questions!B42</f>
        <v>7.25</v>
      </c>
      <c r="C47" s="15">
        <f>STANDARDIZE(redflag_questions!C42,C$5,C$4)</f>
        <v>0.7162280585</v>
      </c>
      <c r="D47" s="15">
        <f>STANDARDIZE(redflag_questions!D42,D$5,D$4)</f>
        <v>1.054207714</v>
      </c>
      <c r="E47" s="15">
        <f>STANDARDIZE(redflag_questions!E42,E$5,E$4)</f>
        <v>1.254405262</v>
      </c>
      <c r="F47" s="15">
        <f>STANDARDIZE(redflag_questions!F42,F$5,F$4)</f>
        <v>1.335992568</v>
      </c>
      <c r="G47" s="15">
        <f>STANDARDIZE(redflag_questions!G42,G$5,G$4)</f>
        <v>1.21112386</v>
      </c>
      <c r="H47" s="15">
        <f>STANDARDIZE(redflag_questions!H42,H$5,H$4)</f>
        <v>0.7400417214</v>
      </c>
      <c r="I47" s="15">
        <f>STANDARDIZE(redflag_questions!I42,I$5,I$4)</f>
        <v>1.34829871</v>
      </c>
      <c r="J47" s="15">
        <f>STANDARDIZE(redflag_questions!J42,J$5,J$4)</f>
        <v>1.676190503</v>
      </c>
      <c r="K47" s="15">
        <f>STANDARDIZE(redflag_questions!K42,K$5,K$4)</f>
        <v>1.269931535</v>
      </c>
      <c r="L47" s="15">
        <f>STANDARDIZE(redflag_questions!L42,L$5,L$4)</f>
        <v>1.100748063</v>
      </c>
      <c r="M47" s="15">
        <f>STANDARDIZE(redflag_questions!M42,M$5,M$4)</f>
        <v>0.6286115199</v>
      </c>
      <c r="N47" s="15">
        <f>STANDARDIZE(redflag_questions!N42,N$5,N$4)</f>
        <v>0.6198111596</v>
      </c>
      <c r="O47" s="15">
        <f>STANDARDIZE(redflag_questions!O42,O$5,O$4)</f>
        <v>1.141002022</v>
      </c>
      <c r="P47" s="15">
        <f>STANDARDIZE(redflag_questions!P42,P$5,P$4)</f>
        <v>-1.641445522</v>
      </c>
      <c r="Q47" s="15">
        <f>STANDARDIZE(redflag_questions!Q42,Q$5,Q$4)</f>
        <v>1.26181414</v>
      </c>
      <c r="R47" s="15">
        <f>STANDARDIZE(redflag_questions!R42,R$5,R$4)</f>
        <v>-0.2182720319</v>
      </c>
      <c r="S47" s="15">
        <f>STANDARDIZE(redflag_questions!S42,S$5,S$4)</f>
        <v>1.43039075</v>
      </c>
      <c r="T47" s="15">
        <f>STANDARDIZE(redflag_questions!T42,T$5,T$4)</f>
        <v>0.909828836</v>
      </c>
      <c r="U47" s="15">
        <f>STANDARDIZE(redflag_questions!U42,U$5,U$4)</f>
        <v>1.541955741</v>
      </c>
      <c r="V47" s="15">
        <f>STANDARDIZE(redflag_questions!V42,V$5,V$4)</f>
        <v>0.7995950623</v>
      </c>
      <c r="W47" s="15">
        <f>STANDARDIZE(redflag_questions!W42,W$5,W$4)</f>
        <v>1.067345268</v>
      </c>
      <c r="X47" s="15">
        <f>STANDARDIZE(redflag_questions!X42,X$5,X$4)</f>
        <v>-0.1186864611</v>
      </c>
      <c r="Y47" s="15">
        <f>STANDARDIZE(redflag_questions!Y42,Y$5,Y$4)</f>
        <v>-1.394467002</v>
      </c>
      <c r="Z47" s="15">
        <f>STANDARDIZE(redflag_questions!Z42,Z$5,Z$4)</f>
        <v>1.74422783</v>
      </c>
    </row>
    <row r="48">
      <c r="A48" s="11" t="str">
        <f>redflag_questions!A43</f>
        <v>Sie benutzt Gender-Pronomen beim Sprechen oder auf Dating Plattformen.</v>
      </c>
      <c r="B48" s="18">
        <f>redflag_questions!B43</f>
        <v>5.12</v>
      </c>
      <c r="C48" s="15">
        <f>STANDARDIZE(redflag_questions!C43,C$5,C$4)</f>
        <v>-0.4192554489</v>
      </c>
      <c r="D48" s="15">
        <f>STANDARDIZE(redflag_questions!D43,D$5,D$4)</f>
        <v>1.054207714</v>
      </c>
      <c r="E48" s="15">
        <f>STANDARDIZE(redflag_questions!E43,E$5,E$4)</f>
        <v>0.3869973682</v>
      </c>
      <c r="F48" s="15">
        <f>STANDARDIZE(redflag_questions!F43,F$5,F$4)</f>
        <v>1.805395362</v>
      </c>
      <c r="G48" s="15">
        <f>STANDARDIZE(redflag_questions!G43,G$5,G$4)</f>
        <v>0.6147371107</v>
      </c>
      <c r="H48" s="15">
        <f>STANDARDIZE(redflag_questions!H43,H$5,H$4)</f>
        <v>-0.7476710175</v>
      </c>
      <c r="I48" s="15">
        <f>STANDARDIZE(redflag_questions!I43,I$5,I$4)</f>
        <v>-0.104288298</v>
      </c>
      <c r="J48" s="15">
        <f>STANDARDIZE(redflag_questions!J43,J$5,J$4)</f>
        <v>1.265049436</v>
      </c>
      <c r="K48" s="15">
        <f>STANDARDIZE(redflag_questions!K43,K$5,K$4)</f>
        <v>0.9201622566</v>
      </c>
      <c r="L48" s="15">
        <f>STANDARDIZE(redflag_questions!L43,L$5,L$4)</f>
        <v>0.2007653699</v>
      </c>
      <c r="M48" s="15">
        <f>STANDARDIZE(redflag_questions!M43,M$5,M$4)</f>
        <v>1.371516043</v>
      </c>
      <c r="N48" s="15">
        <f>STANDARDIZE(redflag_questions!N43,N$5,N$4)</f>
        <v>1.143028372</v>
      </c>
      <c r="O48" s="15">
        <f>STANDARDIZE(redflag_questions!O43,O$5,O$4)</f>
        <v>0.005821438886</v>
      </c>
      <c r="P48" s="15">
        <f>STANDARDIZE(redflag_questions!P43,P$5,P$4)</f>
        <v>-1.641445522</v>
      </c>
      <c r="Q48" s="15">
        <f>STANDARDIZE(redflag_questions!Q43,Q$5,Q$4)</f>
        <v>1.26181414</v>
      </c>
      <c r="R48" s="15">
        <f>STANDARDIZE(redflag_questions!R43,R$5,R$4)</f>
        <v>-0.2182720319</v>
      </c>
      <c r="S48" s="15">
        <f>STANDARDIZE(redflag_questions!S43,S$5,S$4)</f>
        <v>1.43039075</v>
      </c>
      <c r="T48" s="15">
        <f>STANDARDIZE(redflag_questions!T43,T$5,T$4)</f>
        <v>0.909828836</v>
      </c>
      <c r="U48" s="15">
        <f>STANDARDIZE(redflag_questions!U43,U$5,U$4)</f>
        <v>-1.068125592</v>
      </c>
      <c r="V48" s="15">
        <f>STANDARDIZE(redflag_questions!V43,V$5,V$4)</f>
        <v>-1.609780788</v>
      </c>
      <c r="W48" s="15">
        <f>STANDARDIZE(redflag_questions!W43,W$5,W$4)</f>
        <v>-1.128143416</v>
      </c>
      <c r="X48" s="15">
        <f>STANDARDIZE(redflag_questions!X43,X$5,X$4)</f>
        <v>-1.4603595</v>
      </c>
      <c r="Y48" s="15">
        <f>STANDARDIZE(redflag_questions!Y43,Y$5,Y$4)</f>
        <v>-1.826087741</v>
      </c>
      <c r="Z48" s="15">
        <f>STANDARDIZE(redflag_questions!Z43,Z$5,Z$4)</f>
        <v>-1.343801986</v>
      </c>
    </row>
    <row r="49">
      <c r="A49" s="11" t="str">
        <f>redflag_questions!A44</f>
        <v>Sie hat nicht natürlich ausschauende und gefärbte Haare wie z.B. Pink Grün Rot ...</v>
      </c>
      <c r="B49" s="18">
        <f>redflag_questions!B44</f>
        <v>4.39</v>
      </c>
      <c r="C49" s="15">
        <f>STANDARDIZE(redflag_questions!C44,C$5,C$4)</f>
        <v>-0.4192554489</v>
      </c>
      <c r="D49" s="15">
        <f>STANDARDIZE(redflag_questions!D44,D$5,D$4)</f>
        <v>-0.7118619103</v>
      </c>
      <c r="E49" s="15">
        <f>STANDARDIZE(redflag_questions!E44,E$5,E$4)</f>
        <v>-1.34781842</v>
      </c>
      <c r="F49" s="15">
        <f>STANDARDIZE(redflag_questions!F44,F$5,F$4)</f>
        <v>-1.480424197</v>
      </c>
      <c r="G49" s="15">
        <f>STANDARDIZE(redflag_questions!G44,G$5,G$4)</f>
        <v>1.21112386</v>
      </c>
      <c r="H49" s="15">
        <f>STANDARDIZE(redflag_questions!H44,H$5,H$4)</f>
        <v>0.7400417214</v>
      </c>
      <c r="I49" s="15">
        <f>STANDARDIZE(redflag_questions!I44,I$5,I$4)</f>
        <v>-1.556875306</v>
      </c>
      <c r="J49" s="15">
        <f>STANDARDIZE(redflag_questions!J44,J$5,J$4)</f>
        <v>-1.201796965</v>
      </c>
      <c r="K49" s="15">
        <f>STANDARDIZE(redflag_questions!K44,K$5,K$4)</f>
        <v>-0.4789148587</v>
      </c>
      <c r="L49" s="15">
        <f>STANDARDIZE(redflag_questions!L44,L$5,L$4)</f>
        <v>-1.599200016</v>
      </c>
      <c r="M49" s="15">
        <f>STANDARDIZE(redflag_questions!M44,M$5,M$4)</f>
        <v>-0.4857452654</v>
      </c>
      <c r="N49" s="15">
        <f>STANDARDIZE(redflag_questions!N44,N$5,N$4)</f>
        <v>0.09659394696</v>
      </c>
      <c r="O49" s="15">
        <f>STANDARDIZE(redflag_questions!O44,O$5,O$4)</f>
        <v>-2.264539727</v>
      </c>
      <c r="P49" s="15">
        <f>STANDARDIZE(redflag_questions!P44,P$5,P$4)</f>
        <v>-0.8238672925</v>
      </c>
      <c r="Q49" s="15">
        <f>STANDARDIZE(redflag_questions!Q44,Q$5,Q$4)</f>
        <v>-1.267372793</v>
      </c>
      <c r="R49" s="15">
        <f>STANDARDIZE(redflag_questions!R44,R$5,R$4)</f>
        <v>-0.8094254516</v>
      </c>
      <c r="S49" s="15">
        <f>STANDARDIZE(redflag_questions!S44,S$5,S$4)</f>
        <v>-0.2524218971</v>
      </c>
      <c r="T49" s="15">
        <f>STANDARDIZE(redflag_questions!T44,T$5,T$4)</f>
        <v>0.909828836</v>
      </c>
      <c r="U49" s="15">
        <f>STANDARDIZE(redflag_questions!U44,U$5,U$4)</f>
        <v>-1.068125592</v>
      </c>
      <c r="V49" s="15">
        <f>STANDARDIZE(redflag_questions!V44,V$5,V$4)</f>
        <v>-1.609780788</v>
      </c>
      <c r="W49" s="15">
        <f>STANDARDIZE(redflag_questions!W44,W$5,W$4)</f>
        <v>-1.567241153</v>
      </c>
      <c r="X49" s="15">
        <f>STANDARDIZE(redflag_questions!X44,X$5,X$4)</f>
        <v>-0.7895229804</v>
      </c>
      <c r="Y49" s="15">
        <f>STANDARDIZE(redflag_questions!Y44,Y$5,Y$4)</f>
        <v>-1.826087741</v>
      </c>
      <c r="Z49" s="15">
        <f>STANDARDIZE(redflag_questions!Z44,Z$5,Z$4)</f>
        <v>0.861933597</v>
      </c>
    </row>
    <row r="50">
      <c r="A50" s="11" t="str">
        <f>redflag_questions!A45</f>
        <v>Sie antwortet dir nicht bei einer Meinungsverschiedenheit oder einem Konflikt und macht sich rar.</v>
      </c>
      <c r="B50" s="18">
        <f>redflag_questions!B45</f>
        <v>5.52</v>
      </c>
      <c r="C50" s="15">
        <f>STANDARDIZE(redflag_questions!C45,C$5,C$4)</f>
        <v>0.7162280585</v>
      </c>
      <c r="D50" s="15">
        <f>STANDARDIZE(redflag_questions!D45,D$5,D$4)</f>
        <v>-0.005434060384</v>
      </c>
      <c r="E50" s="15">
        <f>STANDARDIZE(redflag_questions!E45,E$5,E$4)</f>
        <v>1.254405262</v>
      </c>
      <c r="F50" s="15">
        <f>STANDARDIZE(redflag_questions!F45,F$5,F$4)</f>
        <v>-0.07221581447</v>
      </c>
      <c r="G50" s="15">
        <f>STANDARDIZE(redflag_questions!G45,G$5,G$4)</f>
        <v>0.6147371107</v>
      </c>
      <c r="H50" s="15">
        <f>STANDARDIZE(redflag_questions!H45,H$5,H$4)</f>
        <v>-0.7476710175</v>
      </c>
      <c r="I50" s="15">
        <f>STANDARDIZE(redflag_questions!I45,I$5,I$4)</f>
        <v>-0.104288298</v>
      </c>
      <c r="J50" s="15">
        <f>STANDARDIZE(redflag_questions!J45,J$5,J$4)</f>
        <v>0.4427673027</v>
      </c>
      <c r="K50" s="15">
        <f>STANDARDIZE(redflag_questions!K45,K$5,K$4)</f>
        <v>0.2206236989</v>
      </c>
      <c r="L50" s="15">
        <f>STANDARDIZE(redflag_questions!L45,L$5,L$4)</f>
        <v>-0.2492259765</v>
      </c>
      <c r="M50" s="15">
        <f>STANDARDIZE(redflag_questions!M45,M$5,M$4)</f>
        <v>0.2571592581</v>
      </c>
      <c r="N50" s="15">
        <f>STANDARDIZE(redflag_questions!N45,N$5,N$4)</f>
        <v>-0.9498404784</v>
      </c>
      <c r="O50" s="15">
        <f>STANDARDIZE(redflag_questions!O45,O$5,O$4)</f>
        <v>0.3842149665</v>
      </c>
      <c r="P50" s="15">
        <f>STANDARDIZE(redflag_questions!P45,P$5,P$4)</f>
        <v>0.8112891659</v>
      </c>
      <c r="Q50" s="15">
        <f>STANDARDIZE(redflag_questions!Q45,Q$5,Q$4)</f>
        <v>0.5391893023</v>
      </c>
      <c r="R50" s="15">
        <f>STANDARDIZE(redflag_questions!R45,R$5,R$4)</f>
        <v>0.9640348075</v>
      </c>
      <c r="S50" s="15">
        <f>STANDARDIZE(redflag_questions!S45,S$5,S$4)</f>
        <v>0.5889844267</v>
      </c>
      <c r="T50" s="15">
        <f>STANDARDIZE(redflag_questions!T45,T$5,T$4)</f>
        <v>0.1797192762</v>
      </c>
      <c r="U50" s="15">
        <f>STANDARDIZE(redflag_questions!U45,U$5,U$4)</f>
        <v>-1.068125592</v>
      </c>
      <c r="V50" s="15">
        <f>STANDARDIZE(redflag_questions!V45,V$5,V$4)</f>
        <v>0.7995950623</v>
      </c>
      <c r="W50" s="15">
        <f>STANDARDIZE(redflag_questions!W45,W$5,W$4)</f>
        <v>-0.2499479424</v>
      </c>
      <c r="X50" s="15">
        <f>STANDARDIZE(redflag_questions!X45,X$5,X$4)</f>
        <v>-0.7895229804</v>
      </c>
      <c r="Y50" s="15">
        <f>STANDARDIZE(redflag_questions!Y45,Y$5,Y$4)</f>
        <v>1.195257431</v>
      </c>
      <c r="Z50" s="15">
        <f>STANDARDIZE(redflag_questions!Z45,Z$5,Z$4)</f>
        <v>0.4207864804</v>
      </c>
    </row>
    <row r="51">
      <c r="A51" s="11" t="str">
        <f>redflag_questions!A46</f>
        <v>Sie hat einen niedrigen Sexdrive mit dir und nicht so leidenschaftlich.</v>
      </c>
      <c r="B51" s="18">
        <f>redflag_questions!B46</f>
        <v>6.07</v>
      </c>
      <c r="C51" s="15">
        <f>STANDARDIZE(redflag_questions!C46,C$5,C$4)</f>
        <v>-0.4192554489</v>
      </c>
      <c r="D51" s="15">
        <f>STANDARDIZE(redflag_questions!D46,D$5,D$4)</f>
        <v>1.054207714</v>
      </c>
      <c r="E51" s="15">
        <f>STANDARDIZE(redflag_questions!E46,E$5,E$4)</f>
        <v>-0.04670657892</v>
      </c>
      <c r="F51" s="15">
        <f>STANDARDIZE(redflag_questions!F46,F$5,F$4)</f>
        <v>-1.011021403</v>
      </c>
      <c r="G51" s="15">
        <f>STANDARDIZE(redflag_questions!G46,G$5,G$4)</f>
        <v>0.6147371107</v>
      </c>
      <c r="H51" s="15">
        <f>STANDARDIZE(redflag_questions!H46,H$5,H$4)</f>
        <v>0.2441374751</v>
      </c>
      <c r="I51" s="15">
        <f>STANDARDIZE(redflag_questions!I46,I$5,I$4)</f>
        <v>0.3799073714</v>
      </c>
      <c r="J51" s="15">
        <f>STANDARDIZE(redflag_questions!J46,J$5,J$4)</f>
        <v>1.265049436</v>
      </c>
      <c r="K51" s="15">
        <f>STANDARDIZE(redflag_questions!K46,K$5,K$4)</f>
        <v>-0.1291455799</v>
      </c>
      <c r="L51" s="15">
        <f>STANDARDIZE(redflag_questions!L46,L$5,L$4)</f>
        <v>1.100748063</v>
      </c>
      <c r="M51" s="15">
        <f>STANDARDIZE(redflag_questions!M46,M$5,M$4)</f>
        <v>-0.4857452654</v>
      </c>
      <c r="N51" s="15">
        <f>STANDARDIZE(redflag_questions!N46,N$5,N$4)</f>
        <v>0.6198111596</v>
      </c>
      <c r="O51" s="15">
        <f>STANDARDIZE(redflag_questions!O46,O$5,O$4)</f>
        <v>0.3842149665</v>
      </c>
      <c r="P51" s="15">
        <f>STANDARDIZE(redflag_questions!P46,P$5,P$4)</f>
        <v>1.22007828</v>
      </c>
      <c r="Q51" s="15">
        <f>STANDARDIZE(redflag_questions!Q46,Q$5,Q$4)</f>
        <v>-0.5447479549</v>
      </c>
      <c r="R51" s="15">
        <f>STANDARDIZE(redflag_questions!R46,R$5,R$4)</f>
        <v>0.3728813878</v>
      </c>
      <c r="S51" s="15">
        <f>STANDARDIZE(redflag_questions!S46,S$5,S$4)</f>
        <v>0.5889844267</v>
      </c>
      <c r="T51" s="15">
        <f>STANDARDIZE(redflag_questions!T46,T$5,T$4)</f>
        <v>0.1797192762</v>
      </c>
      <c r="U51" s="15">
        <f>STANDARDIZE(redflag_questions!U46,U$5,U$4)</f>
        <v>1.019939475</v>
      </c>
      <c r="V51" s="15">
        <f>STANDARDIZE(redflag_questions!V46,V$5,V$4)</f>
        <v>0.1112019623</v>
      </c>
      <c r="W51" s="15">
        <f>STANDARDIZE(redflag_questions!W46,W$5,W$4)</f>
        <v>-0.2499479424</v>
      </c>
      <c r="X51" s="15">
        <f>STANDARDIZE(redflag_questions!X46,X$5,X$4)</f>
        <v>0.8875683179</v>
      </c>
      <c r="Y51" s="15">
        <f>STANDARDIZE(redflag_questions!Y46,Y$5,Y$4)</f>
        <v>-1.394467002</v>
      </c>
      <c r="Z51" s="15">
        <f>STANDARDIZE(redflag_questions!Z46,Z$5,Z$4)</f>
        <v>-0.4615077527</v>
      </c>
    </row>
    <row r="52">
      <c r="A52" s="11" t="str">
        <f>redflag_questions!A47</f>
        <v>Sie reist viel und bevorzugt alleine in der Beziehung.</v>
      </c>
      <c r="B52" s="18">
        <f>redflag_questions!B47</f>
        <v>4.7</v>
      </c>
      <c r="C52" s="15">
        <f>STANDARDIZE(redflag_questions!C47,C$5,C$4)</f>
        <v>-0.9869972026</v>
      </c>
      <c r="D52" s="15">
        <f>STANDARDIZE(redflag_questions!D47,D$5,D$4)</f>
        <v>-1.065075835</v>
      </c>
      <c r="E52" s="15">
        <f>STANDARDIZE(redflag_questions!E47,E$5,E$4)</f>
        <v>0.3869973682</v>
      </c>
      <c r="F52" s="15">
        <f>STANDARDIZE(redflag_questions!F47,F$5,F$4)</f>
        <v>-1.480424197</v>
      </c>
      <c r="G52" s="15">
        <f>STANDARDIZE(redflag_questions!G47,G$5,G$4)</f>
        <v>0.01835036151</v>
      </c>
      <c r="H52" s="15">
        <f>STANDARDIZE(redflag_questions!H47,H$5,H$4)</f>
        <v>0.7400417214</v>
      </c>
      <c r="I52" s="15">
        <f>STANDARDIZE(redflag_questions!I47,I$5,I$4)</f>
        <v>-1.556875306</v>
      </c>
      <c r="J52" s="15">
        <f>STANDARDIZE(redflag_questions!J47,J$5,J$4)</f>
        <v>-0.7906558978</v>
      </c>
      <c r="K52" s="15">
        <f>STANDARDIZE(redflag_questions!K47,K$5,K$4)</f>
        <v>0.5703929778</v>
      </c>
      <c r="L52" s="15">
        <f>STANDARDIZE(redflag_questions!L47,L$5,L$4)</f>
        <v>0.2007653699</v>
      </c>
      <c r="M52" s="15">
        <f>STANDARDIZE(redflag_questions!M47,M$5,M$4)</f>
        <v>-0.4857452654</v>
      </c>
      <c r="N52" s="15">
        <f>STANDARDIZE(redflag_questions!N47,N$5,N$4)</f>
        <v>-0.9498404784</v>
      </c>
      <c r="O52" s="15">
        <f>STANDARDIZE(redflag_questions!O47,O$5,O$4)</f>
        <v>0.005821438886</v>
      </c>
      <c r="P52" s="15">
        <f>STANDARDIZE(redflag_questions!P47,P$5,P$4)</f>
        <v>-0.8238672925</v>
      </c>
      <c r="Q52" s="15">
        <f>STANDARDIZE(redflag_questions!Q47,Q$5,Q$4)</f>
        <v>-0.5447479549</v>
      </c>
      <c r="R52" s="15">
        <f>STANDARDIZE(redflag_questions!R47,R$5,R$4)</f>
        <v>-0.2182720319</v>
      </c>
      <c r="S52" s="15">
        <f>STANDARDIZE(redflag_questions!S47,S$5,S$4)</f>
        <v>1.009687589</v>
      </c>
      <c r="T52" s="15">
        <f>STANDARDIZE(redflag_questions!T47,T$5,T$4)</f>
        <v>0.1797192762</v>
      </c>
      <c r="U52" s="15">
        <f>STANDARDIZE(redflag_questions!U47,U$5,U$4)</f>
        <v>1.019939475</v>
      </c>
      <c r="V52" s="15">
        <f>STANDARDIZE(redflag_questions!V47,V$5,V$4)</f>
        <v>-0.5771911377</v>
      </c>
      <c r="W52" s="15">
        <f>STANDARDIZE(redflag_questions!W47,W$5,W$4)</f>
        <v>0.628247531</v>
      </c>
      <c r="X52" s="15">
        <f>STANDARDIZE(redflag_questions!X47,X$5,X$4)</f>
        <v>-1.12494124</v>
      </c>
      <c r="Y52" s="15">
        <f>STANDARDIZE(redflag_questions!Y47,Y$5,Y$4)</f>
        <v>-0.5312255247</v>
      </c>
      <c r="Z52" s="15">
        <f>STANDARDIZE(redflag_questions!Z47,Z$5,Z$4)</f>
        <v>1.303080714</v>
      </c>
    </row>
    <row r="53">
      <c r="A53" s="11" t="str">
        <f>redflag_questions!A48</f>
        <v>Sie war in der Vergangenheit lange auf Dating Apps wie z.B. Tinder und Bumble unterwegs.</v>
      </c>
      <c r="B53" s="18">
        <f>redflag_questions!B48</f>
        <v>4.71</v>
      </c>
      <c r="C53" s="15">
        <f>STANDARDIZE(redflag_questions!C48,C$5,C$4)</f>
        <v>1.283969812</v>
      </c>
      <c r="D53" s="15">
        <f>STANDARDIZE(redflag_questions!D48,D$5,D$4)</f>
        <v>0.7009937895</v>
      </c>
      <c r="E53" s="15">
        <f>STANDARDIZE(redflag_questions!E48,E$5,E$4)</f>
        <v>-0.9141144732</v>
      </c>
      <c r="F53" s="15">
        <f>STANDARDIZE(redflag_questions!F48,F$5,F$4)</f>
        <v>-1.480424197</v>
      </c>
      <c r="G53" s="15">
        <f>STANDARDIZE(redflag_questions!G48,G$5,G$4)</f>
        <v>0.01835036151</v>
      </c>
      <c r="H53" s="15">
        <f>STANDARDIZE(redflag_questions!H48,H$5,H$4)</f>
        <v>0.2441374751</v>
      </c>
      <c r="I53" s="15">
        <f>STANDARDIZE(redflag_questions!I48,I$5,I$4)</f>
        <v>-0.5884839675</v>
      </c>
      <c r="J53" s="15">
        <f>STANDARDIZE(redflag_questions!J48,J$5,J$4)</f>
        <v>-1.201796965</v>
      </c>
      <c r="K53" s="15">
        <f>STANDARDIZE(redflag_questions!K48,K$5,K$4)</f>
        <v>-0.4789148587</v>
      </c>
      <c r="L53" s="15">
        <f>STANDARDIZE(redflag_questions!L48,L$5,L$4)</f>
        <v>1.100748063</v>
      </c>
      <c r="M53" s="15">
        <f>STANDARDIZE(redflag_questions!M48,M$5,M$4)</f>
        <v>-0.4857452654</v>
      </c>
      <c r="N53" s="15">
        <f>STANDARDIZE(redflag_questions!N48,N$5,N$4)</f>
        <v>-1.996274904</v>
      </c>
      <c r="O53" s="15">
        <f>STANDARDIZE(redflag_questions!O48,O$5,O$4)</f>
        <v>0.005821438886</v>
      </c>
      <c r="P53" s="15">
        <f>STANDARDIZE(redflag_questions!P48,P$5,P$4)</f>
        <v>-0.4150781779</v>
      </c>
      <c r="Q53" s="15">
        <f>STANDARDIZE(redflag_questions!Q48,Q$5,Q$4)</f>
        <v>-1.628685212</v>
      </c>
      <c r="R53" s="15">
        <f>STANDARDIZE(redflag_questions!R48,R$5,R$4)</f>
        <v>0.3728813878</v>
      </c>
      <c r="S53" s="15">
        <f>STANDARDIZE(redflag_questions!S48,S$5,S$4)</f>
        <v>-1.935234545</v>
      </c>
      <c r="T53" s="15">
        <f>STANDARDIZE(redflag_questions!T48,T$5,T$4)</f>
        <v>-1.280499843</v>
      </c>
      <c r="U53" s="15">
        <f>STANDARDIZE(redflag_questions!U48,U$5,U$4)</f>
        <v>-1.068125592</v>
      </c>
      <c r="V53" s="15">
        <f>STANDARDIZE(redflag_questions!V48,V$5,V$4)</f>
        <v>-1.265584238</v>
      </c>
      <c r="W53" s="15">
        <f>STANDARDIZE(redflag_questions!W48,W$5,W$4)</f>
        <v>-2.006338889</v>
      </c>
      <c r="X53" s="15">
        <f>STANDARDIZE(redflag_questions!X48,X$5,X$4)</f>
        <v>0.5521500582</v>
      </c>
      <c r="Y53" s="15">
        <f>STANDARDIZE(redflag_questions!Y48,Y$5,Y$4)</f>
        <v>-0.5312255247</v>
      </c>
      <c r="Z53" s="15">
        <f>STANDARDIZE(redflag_questions!Z48,Z$5,Z$4)</f>
        <v>-0.02036063615</v>
      </c>
    </row>
    <row r="54">
      <c r="A54" s="11" t="str">
        <f>redflag_questions!A49</f>
        <v>Sie postet in Social Media sogenannte Thirst traps (Fotos die dazu dienen die männliche Aufmerksamkeit zu erregen).</v>
      </c>
      <c r="B54" s="18">
        <f>redflag_questions!B49</f>
        <v>5.91</v>
      </c>
      <c r="C54" s="15">
        <f>STANDARDIZE(redflag_questions!C49,C$5,C$4)</f>
        <v>0.1484863048</v>
      </c>
      <c r="D54" s="15">
        <f>STANDARDIZE(redflag_questions!D49,D$5,D$4)</f>
        <v>1.054207714</v>
      </c>
      <c r="E54" s="15">
        <f>STANDARDIZE(redflag_questions!E49,E$5,E$4)</f>
        <v>1.254405262</v>
      </c>
      <c r="F54" s="15">
        <f>STANDARDIZE(redflag_questions!F49,F$5,F$4)</f>
        <v>-1.011021403</v>
      </c>
      <c r="G54" s="15">
        <f>STANDARDIZE(redflag_questions!G49,G$5,G$4)</f>
        <v>0.6147371107</v>
      </c>
      <c r="H54" s="15">
        <f>STANDARDIZE(redflag_questions!H49,H$5,H$4)</f>
        <v>0.7400417214</v>
      </c>
      <c r="I54" s="15">
        <f>STANDARDIZE(redflag_questions!I49,I$5,I$4)</f>
        <v>1.34829871</v>
      </c>
      <c r="J54" s="15">
        <f>STANDARDIZE(redflag_questions!J49,J$5,J$4)</f>
        <v>-1.201796965</v>
      </c>
      <c r="K54" s="15">
        <f>STANDARDIZE(redflag_questions!K49,K$5,K$4)</f>
        <v>0.2206236989</v>
      </c>
      <c r="L54" s="15">
        <f>STANDARDIZE(redflag_questions!L49,L$5,L$4)</f>
        <v>1.100748063</v>
      </c>
      <c r="M54" s="15">
        <f>STANDARDIZE(redflag_questions!M49,M$5,M$4)</f>
        <v>-0.4857452654</v>
      </c>
      <c r="N54" s="15">
        <f>STANDARDIZE(redflag_questions!N49,N$5,N$4)</f>
        <v>0.6198111596</v>
      </c>
      <c r="O54" s="15">
        <f>STANDARDIZE(redflag_questions!O49,O$5,O$4)</f>
        <v>-0.7509656163</v>
      </c>
      <c r="P54" s="15">
        <f>STANDARDIZE(redflag_questions!P49,P$5,P$4)</f>
        <v>0.4025000513</v>
      </c>
      <c r="Q54" s="15">
        <f>STANDARDIZE(redflag_questions!Q49,Q$5,Q$4)</f>
        <v>0.9005017213</v>
      </c>
      <c r="R54" s="15">
        <f>STANDARDIZE(redflag_questions!R49,R$5,R$4)</f>
        <v>0.3728813878</v>
      </c>
      <c r="S54" s="15">
        <f>STANDARDIZE(redflag_questions!S49,S$5,S$4)</f>
        <v>-1.093828221</v>
      </c>
      <c r="T54" s="15">
        <f>STANDARDIZE(redflag_questions!T49,T$5,T$4)</f>
        <v>0.909828836</v>
      </c>
      <c r="U54" s="15">
        <f>STANDARDIZE(redflag_questions!U49,U$5,U$4)</f>
        <v>1.541955741</v>
      </c>
      <c r="V54" s="15">
        <f>STANDARDIZE(redflag_questions!V49,V$5,V$4)</f>
        <v>-0.2329945877</v>
      </c>
      <c r="W54" s="15">
        <f>STANDARDIZE(redflag_questions!W49,W$5,W$4)</f>
        <v>0.628247531</v>
      </c>
      <c r="X54" s="15">
        <f>STANDARDIZE(redflag_questions!X49,X$5,X$4)</f>
        <v>1.222986578</v>
      </c>
      <c r="Y54" s="15">
        <f>STANDARDIZE(redflag_questions!Y49,Y$5,Y$4)</f>
        <v>-1.394467002</v>
      </c>
      <c r="Z54" s="15">
        <f>STANDARDIZE(redflag_questions!Z49,Z$5,Z$4)</f>
        <v>1.303080714</v>
      </c>
    </row>
    <row r="55">
      <c r="A55" s="11" t="str">
        <f>redflag_questions!A50</f>
        <v>Sie ist ein langzeit Single (4+ Jahre).</v>
      </c>
      <c r="B55" s="18">
        <f>redflag_questions!B50</f>
        <v>5.4</v>
      </c>
      <c r="C55" s="15">
        <f>STANDARDIZE(redflag_questions!C50,C$5,C$4)</f>
        <v>0.1484863048</v>
      </c>
      <c r="D55" s="15">
        <f>STANDARDIZE(redflag_questions!D50,D$5,D$4)</f>
        <v>-2.12471761</v>
      </c>
      <c r="E55" s="15">
        <f>STANDARDIZE(redflag_questions!E50,E$5,E$4)</f>
        <v>-1.781522367</v>
      </c>
      <c r="F55" s="15">
        <f>STANDARDIZE(redflag_questions!F50,F$5,F$4)</f>
        <v>-1.480424197</v>
      </c>
      <c r="G55" s="15">
        <f>STANDARDIZE(redflag_questions!G50,G$5,G$4)</f>
        <v>-0.5780363877</v>
      </c>
      <c r="H55" s="15">
        <f>STANDARDIZE(redflag_questions!H50,H$5,H$4)</f>
        <v>-1.243575264</v>
      </c>
      <c r="I55" s="15">
        <f>STANDARDIZE(redflag_questions!I50,I$5,I$4)</f>
        <v>-2.041070976</v>
      </c>
      <c r="J55" s="15">
        <f>STANDARDIZE(redflag_questions!J50,J$5,J$4)</f>
        <v>-0.3795148309</v>
      </c>
      <c r="K55" s="15">
        <f>STANDARDIZE(redflag_questions!K50,K$5,K$4)</f>
        <v>-1.877991974</v>
      </c>
      <c r="L55" s="15">
        <f>STANDARDIZE(redflag_questions!L50,L$5,L$4)</f>
        <v>-1.149208669</v>
      </c>
      <c r="M55" s="15">
        <f>STANDARDIZE(redflag_questions!M50,M$5,M$4)</f>
        <v>-0.4857452654</v>
      </c>
      <c r="N55" s="15">
        <f>STANDARDIZE(redflag_questions!N50,N$5,N$4)</f>
        <v>-0.9498404784</v>
      </c>
      <c r="O55" s="15">
        <f>STANDARDIZE(redflag_questions!O50,O$5,O$4)</f>
        <v>-0.7509656163</v>
      </c>
      <c r="P55" s="15">
        <f>STANDARDIZE(redflag_questions!P50,P$5,P$4)</f>
        <v>-1.641445522</v>
      </c>
      <c r="Q55" s="15">
        <f>STANDARDIZE(redflag_questions!Q50,Q$5,Q$4)</f>
        <v>-1.628685212</v>
      </c>
      <c r="R55" s="15">
        <f>STANDARDIZE(redflag_questions!R50,R$5,R$4)</f>
        <v>-0.8094254516</v>
      </c>
      <c r="S55" s="15">
        <f>STANDARDIZE(redflag_questions!S50,S$5,S$4)</f>
        <v>-1.935234545</v>
      </c>
      <c r="T55" s="15">
        <f>STANDARDIZE(redflag_questions!T50,T$5,T$4)</f>
        <v>-1.280499843</v>
      </c>
      <c r="U55" s="15">
        <f>STANDARDIZE(redflag_questions!U50,U$5,U$4)</f>
        <v>-0.546109325</v>
      </c>
      <c r="V55" s="15">
        <f>STANDARDIZE(redflag_questions!V50,V$5,V$4)</f>
        <v>-1.265584238</v>
      </c>
      <c r="W55" s="15">
        <f>STANDARDIZE(redflag_questions!W50,W$5,W$4)</f>
        <v>-0.6890456792</v>
      </c>
      <c r="X55" s="15">
        <f>STANDARDIZE(redflag_questions!X50,X$5,X$4)</f>
        <v>-1.12494124</v>
      </c>
      <c r="Y55" s="15">
        <f>STANDARDIZE(redflag_questions!Y50,Y$5,Y$4)</f>
        <v>-1.394467002</v>
      </c>
      <c r="Z55" s="15">
        <f>STANDARDIZE(redflag_questions!Z50,Z$5,Z$4)</f>
        <v>-0.4615077527</v>
      </c>
    </row>
    <row r="56">
      <c r="A56" s="11" t="str">
        <f>redflag_questions!A51</f>
        <v>Sie ist ein frischer Single (0-4 Monate).</v>
      </c>
      <c r="B56" s="18">
        <f>redflag_questions!B51</f>
        <v>4.25</v>
      </c>
      <c r="C56" s="15">
        <f>STANDARDIZE(redflag_questions!C51,C$5,C$4)</f>
        <v>-2.12248071</v>
      </c>
      <c r="D56" s="15">
        <f>STANDARDIZE(redflag_questions!D51,D$5,D$4)</f>
        <v>-0.7118619103</v>
      </c>
      <c r="E56" s="15">
        <f>STANDARDIZE(redflag_questions!E51,E$5,E$4)</f>
        <v>-0.04670657892</v>
      </c>
      <c r="F56" s="15">
        <f>STANDARDIZE(redflag_questions!F51,F$5,F$4)</f>
        <v>-1.480424197</v>
      </c>
      <c r="G56" s="15">
        <f>STANDARDIZE(redflag_questions!G51,G$5,G$4)</f>
        <v>-1.174423137</v>
      </c>
      <c r="H56" s="15">
        <f>STANDARDIZE(redflag_questions!H51,H$5,H$4)</f>
        <v>-0.2517667712</v>
      </c>
      <c r="I56" s="15">
        <f>STANDARDIZE(redflag_questions!I51,I$5,I$4)</f>
        <v>-0.5884839675</v>
      </c>
      <c r="J56" s="15">
        <f>STANDARDIZE(redflag_questions!J51,J$5,J$4)</f>
        <v>-0.3795148309</v>
      </c>
      <c r="K56" s="15">
        <f>STANDARDIZE(redflag_questions!K51,K$5,K$4)</f>
        <v>-1.877991974</v>
      </c>
      <c r="L56" s="15">
        <f>STANDARDIZE(redflag_questions!L51,L$5,L$4)</f>
        <v>-0.6992173229</v>
      </c>
      <c r="M56" s="15">
        <f>STANDARDIZE(redflag_questions!M51,M$5,M$4)</f>
        <v>-0.8571975271</v>
      </c>
      <c r="N56" s="15">
        <f>STANDARDIZE(redflag_questions!N51,N$5,N$4)</f>
        <v>-1.996274904</v>
      </c>
      <c r="O56" s="15">
        <f>STANDARDIZE(redflag_questions!O51,O$5,O$4)</f>
        <v>-0.7509656163</v>
      </c>
      <c r="P56" s="15">
        <f>STANDARDIZE(redflag_questions!P51,P$5,P$4)</f>
        <v>-1.641445522</v>
      </c>
      <c r="Q56" s="15">
        <f>STANDARDIZE(redflag_questions!Q51,Q$5,Q$4)</f>
        <v>-1.267372793</v>
      </c>
      <c r="R56" s="15">
        <f>STANDARDIZE(redflag_questions!R51,R$5,R$4)</f>
        <v>0.3728813878</v>
      </c>
      <c r="S56" s="15">
        <f>STANDARDIZE(redflag_questions!S51,S$5,S$4)</f>
        <v>-1.935234545</v>
      </c>
      <c r="T56" s="15">
        <f>STANDARDIZE(redflag_questions!T51,T$5,T$4)</f>
        <v>-1.280499843</v>
      </c>
      <c r="U56" s="15">
        <f>STANDARDIZE(redflag_questions!U51,U$5,U$4)</f>
        <v>0.4979232081</v>
      </c>
      <c r="V56" s="15">
        <f>STANDARDIZE(redflag_questions!V51,V$5,V$4)</f>
        <v>-1.265584238</v>
      </c>
      <c r="W56" s="15">
        <f>STANDARDIZE(redflag_questions!W51,W$5,W$4)</f>
        <v>-0.6890456792</v>
      </c>
      <c r="X56" s="15">
        <f>STANDARDIZE(redflag_questions!X51,X$5,X$4)</f>
        <v>0.5521500582</v>
      </c>
      <c r="Y56" s="15">
        <f>STANDARDIZE(redflag_questions!Y51,Y$5,Y$4)</f>
        <v>-0.5312255247</v>
      </c>
      <c r="Z56" s="15">
        <f>STANDARDIZE(redflag_questions!Z51,Z$5,Z$4)</f>
        <v>-1.784949102</v>
      </c>
    </row>
    <row r="57">
      <c r="A57" s="11" t="str">
        <f>redflag_questions!A52</f>
        <v>Sie hatte in der Vergangenheit viele kurze Beziehungen (jeweils zwischen 3-8 Monate)</v>
      </c>
      <c r="B57" s="18">
        <f>redflag_questions!B52</f>
        <v>5.02</v>
      </c>
      <c r="C57" s="15">
        <f>STANDARDIZE(redflag_questions!C52,C$5,C$4)</f>
        <v>-0.9869972026</v>
      </c>
      <c r="D57" s="15">
        <f>STANDARDIZE(redflag_questions!D52,D$5,D$4)</f>
        <v>0.7009937895</v>
      </c>
      <c r="E57" s="15">
        <f>STANDARDIZE(redflag_questions!E52,E$5,E$4)</f>
        <v>0.8207013154</v>
      </c>
      <c r="F57" s="15">
        <f>STANDARDIZE(redflag_questions!F52,F$5,F$4)</f>
        <v>-0.5416186085</v>
      </c>
      <c r="G57" s="15">
        <f>STANDARDIZE(redflag_questions!G52,G$5,G$4)</f>
        <v>-1.174423137</v>
      </c>
      <c r="H57" s="15">
        <f>STANDARDIZE(redflag_questions!H52,H$5,H$4)</f>
        <v>-0.7476710175</v>
      </c>
      <c r="I57" s="15">
        <f>STANDARDIZE(redflag_questions!I52,I$5,I$4)</f>
        <v>-1.556875306</v>
      </c>
      <c r="J57" s="15">
        <f>STANDARDIZE(redflag_questions!J52,J$5,J$4)</f>
        <v>0.03162623591</v>
      </c>
      <c r="K57" s="15">
        <f>STANDARDIZE(redflag_questions!K52,K$5,K$4)</f>
        <v>-0.4789148587</v>
      </c>
      <c r="L57" s="15">
        <f>STANDARDIZE(redflag_questions!L52,L$5,L$4)</f>
        <v>0.2007653699</v>
      </c>
      <c r="M57" s="15">
        <f>STANDARDIZE(redflag_questions!M52,M$5,M$4)</f>
        <v>-1.228649789</v>
      </c>
      <c r="N57" s="15">
        <f>STANDARDIZE(redflag_questions!N52,N$5,N$4)</f>
        <v>0.09659394696</v>
      </c>
      <c r="O57" s="15">
        <f>STANDARDIZE(redflag_questions!O52,O$5,O$4)</f>
        <v>0.3842149665</v>
      </c>
      <c r="P57" s="15">
        <f>STANDARDIZE(redflag_questions!P52,P$5,P$4)</f>
        <v>-0.4150781779</v>
      </c>
      <c r="Q57" s="15">
        <f>STANDARDIZE(redflag_questions!Q52,Q$5,Q$4)</f>
        <v>-1.267372793</v>
      </c>
      <c r="R57" s="15">
        <f>STANDARDIZE(redflag_questions!R52,R$5,R$4)</f>
        <v>0.3728813878</v>
      </c>
      <c r="S57" s="15">
        <f>STANDARDIZE(redflag_questions!S52,S$5,S$4)</f>
        <v>-0.6731250591</v>
      </c>
      <c r="T57" s="15">
        <f>STANDARDIZE(redflag_questions!T52,T$5,T$4)</f>
        <v>-0.5503902835</v>
      </c>
      <c r="U57" s="15">
        <f>STANDARDIZE(redflag_questions!U52,U$5,U$4)</f>
        <v>-0.546109325</v>
      </c>
      <c r="V57" s="15">
        <f>STANDARDIZE(redflag_questions!V52,V$5,V$4)</f>
        <v>-0.5771911377</v>
      </c>
      <c r="W57" s="15">
        <f>STANDARDIZE(redflag_questions!W52,W$5,W$4)</f>
        <v>-0.2499479424</v>
      </c>
      <c r="X57" s="15">
        <f>STANDARDIZE(redflag_questions!X52,X$5,X$4)</f>
        <v>0.2167317986</v>
      </c>
      <c r="Y57" s="15">
        <f>STANDARDIZE(redflag_questions!Y52,Y$5,Y$4)</f>
        <v>0.3320159529</v>
      </c>
      <c r="Z57" s="15">
        <f>STANDARDIZE(redflag_questions!Z52,Z$5,Z$4)</f>
        <v>-0.9026548693</v>
      </c>
    </row>
    <row r="58">
      <c r="A58" s="11" t="str">
        <f>redflag_questions!A53</f>
        <v>Sie regiert häufig über und steigert sich häufig in Probleme.</v>
      </c>
      <c r="B58" s="18">
        <f>redflag_questions!B53</f>
        <v>5.58</v>
      </c>
      <c r="C58" s="15">
        <f>STANDARDIZE(redflag_questions!C53,C$5,C$4)</f>
        <v>-0.9869972026</v>
      </c>
      <c r="D58" s="15">
        <f>STANDARDIZE(redflag_questions!D53,D$5,D$4)</f>
        <v>-0.005434060384</v>
      </c>
      <c r="E58" s="15">
        <f>STANDARDIZE(redflag_questions!E53,E$5,E$4)</f>
        <v>-0.9141144732</v>
      </c>
      <c r="F58" s="15">
        <f>STANDARDIZE(redflag_questions!F53,F$5,F$4)</f>
        <v>-0.07221581447</v>
      </c>
      <c r="G58" s="15">
        <f>STANDARDIZE(redflag_questions!G53,G$5,G$4)</f>
        <v>-0.5780363877</v>
      </c>
      <c r="H58" s="15">
        <f>STANDARDIZE(redflag_questions!H53,H$5,H$4)</f>
        <v>0.2441374751</v>
      </c>
      <c r="I58" s="15">
        <f>STANDARDIZE(redflag_questions!I53,I$5,I$4)</f>
        <v>-0.104288298</v>
      </c>
      <c r="J58" s="15">
        <f>STANDARDIZE(redflag_questions!J53,J$5,J$4)</f>
        <v>0.03162623591</v>
      </c>
      <c r="K58" s="15">
        <f>STANDARDIZE(redflag_questions!K53,K$5,K$4)</f>
        <v>0.5703929778</v>
      </c>
      <c r="L58" s="15">
        <f>STANDARDIZE(redflag_questions!L53,L$5,L$4)</f>
        <v>0.2007653699</v>
      </c>
      <c r="M58" s="15">
        <f>STANDARDIZE(redflag_questions!M53,M$5,M$4)</f>
        <v>-0.4857452654</v>
      </c>
      <c r="N58" s="15">
        <f>STANDARDIZE(redflag_questions!N53,N$5,N$4)</f>
        <v>0.6198111596</v>
      </c>
      <c r="O58" s="15">
        <f>STANDARDIZE(redflag_questions!O53,O$5,O$4)</f>
        <v>0.005821438886</v>
      </c>
      <c r="P58" s="15">
        <f>STANDARDIZE(redflag_questions!P53,P$5,P$4)</f>
        <v>0.8112891659</v>
      </c>
      <c r="Q58" s="15">
        <f>STANDARDIZE(redflag_questions!Q53,Q$5,Q$4)</f>
        <v>-0.1834355358</v>
      </c>
      <c r="R58" s="15">
        <f>STANDARDIZE(redflag_questions!R53,R$5,R$4)</f>
        <v>0.9640348075</v>
      </c>
      <c r="S58" s="15">
        <f>STANDARDIZE(redflag_questions!S53,S$5,S$4)</f>
        <v>0.5889844267</v>
      </c>
      <c r="T58" s="15">
        <f>STANDARDIZE(redflag_questions!T53,T$5,T$4)</f>
        <v>0.1797192762</v>
      </c>
      <c r="U58" s="15">
        <f>STANDARDIZE(redflag_questions!U53,U$5,U$4)</f>
        <v>-1.068125592</v>
      </c>
      <c r="V58" s="15">
        <f>STANDARDIZE(redflag_questions!V53,V$5,V$4)</f>
        <v>0.4553985123</v>
      </c>
      <c r="W58" s="15">
        <f>STANDARDIZE(redflag_questions!W53,W$5,W$4)</f>
        <v>0.1891497943</v>
      </c>
      <c r="X58" s="15">
        <f>STANDARDIZE(redflag_questions!X53,X$5,X$4)</f>
        <v>-0.7895229804</v>
      </c>
      <c r="Y58" s="15">
        <f>STANDARDIZE(redflag_questions!Y53,Y$5,Y$4)</f>
        <v>0.3320159529</v>
      </c>
      <c r="Z58" s="15">
        <f>STANDARDIZE(redflag_questions!Z53,Z$5,Z$4)</f>
        <v>-1.343801986</v>
      </c>
    </row>
    <row r="59">
      <c r="A59" s="11" t="str">
        <f>redflag_questions!A54</f>
        <v>Sie zeigt nicht viel Empathie für deine Gefühle.</v>
      </c>
      <c r="B59" s="18">
        <f>redflag_questions!B54</f>
        <v>5.98</v>
      </c>
      <c r="C59" s="15">
        <f>STANDARDIZE(redflag_questions!C54,C$5,C$4)</f>
        <v>-0.4192554489</v>
      </c>
      <c r="D59" s="15">
        <f>STANDARDIZE(redflag_questions!D54,D$5,D$4)</f>
        <v>0.7009937895</v>
      </c>
      <c r="E59" s="15">
        <f>STANDARDIZE(redflag_questions!E54,E$5,E$4)</f>
        <v>1.254405262</v>
      </c>
      <c r="F59" s="15">
        <f>STANDARDIZE(redflag_questions!F54,F$5,F$4)</f>
        <v>1.335992568</v>
      </c>
      <c r="G59" s="15">
        <f>STANDARDIZE(redflag_questions!G54,G$5,G$4)</f>
        <v>1.807510609</v>
      </c>
      <c r="H59" s="15">
        <f>STANDARDIZE(redflag_questions!H54,H$5,H$4)</f>
        <v>0.2441374751</v>
      </c>
      <c r="I59" s="15">
        <f>STANDARDIZE(redflag_questions!I54,I$5,I$4)</f>
        <v>0.3799073714</v>
      </c>
      <c r="J59" s="15">
        <f>STANDARDIZE(redflag_questions!J54,J$5,J$4)</f>
        <v>-0.7906558978</v>
      </c>
      <c r="K59" s="15">
        <f>STANDARDIZE(redflag_questions!K54,K$5,K$4)</f>
        <v>0.5703929778</v>
      </c>
      <c r="L59" s="15">
        <f>STANDARDIZE(redflag_questions!L54,L$5,L$4)</f>
        <v>0.6507567163</v>
      </c>
      <c r="M59" s="15">
        <f>STANDARDIZE(redflag_questions!M54,M$5,M$4)</f>
        <v>0.2571592581</v>
      </c>
      <c r="N59" s="15">
        <f>STANDARDIZE(redflag_questions!N54,N$5,N$4)</f>
        <v>1.143028372</v>
      </c>
      <c r="O59" s="15">
        <f>STANDARDIZE(redflag_questions!O54,O$5,O$4)</f>
        <v>1.141002022</v>
      </c>
      <c r="P59" s="15">
        <f>STANDARDIZE(redflag_questions!P54,P$5,P$4)</f>
        <v>-0.4150781779</v>
      </c>
      <c r="Q59" s="15">
        <f>STANDARDIZE(redflag_questions!Q54,Q$5,Q$4)</f>
        <v>0.9005017213</v>
      </c>
      <c r="R59" s="15">
        <f>STANDARDIZE(redflag_questions!R54,R$5,R$4)</f>
        <v>1.555188227</v>
      </c>
      <c r="S59" s="15">
        <f>STANDARDIZE(redflag_questions!S54,S$5,S$4)</f>
        <v>0.5889844267</v>
      </c>
      <c r="T59" s="15">
        <f>STANDARDIZE(redflag_questions!T54,T$5,T$4)</f>
        <v>0.909828836</v>
      </c>
      <c r="U59" s="15">
        <f>STANDARDIZE(redflag_questions!U54,U$5,U$4)</f>
        <v>1.019939475</v>
      </c>
      <c r="V59" s="15">
        <f>STANDARDIZE(redflag_questions!V54,V$5,V$4)</f>
        <v>1.143791612</v>
      </c>
      <c r="W59" s="15">
        <f>STANDARDIZE(redflag_questions!W54,W$5,W$4)</f>
        <v>0.628247531</v>
      </c>
      <c r="X59" s="15">
        <f>STANDARDIZE(redflag_questions!X54,X$5,X$4)</f>
        <v>1.222986578</v>
      </c>
      <c r="Y59" s="15">
        <f>STANDARDIZE(redflag_questions!Y54,Y$5,Y$4)</f>
        <v>1.195257431</v>
      </c>
      <c r="Z59" s="15">
        <f>STANDARDIZE(redflag_questions!Z54,Z$5,Z$4)</f>
        <v>1.303080714</v>
      </c>
    </row>
    <row r="60">
      <c r="A60" s="11" t="str">
        <f>redflag_questions!A55</f>
        <v>Sie ist oft irritiert und abweisend von unterschiedlichen Standpunkten zu Meinungen die ihr nicht gefallen.</v>
      </c>
      <c r="B60" s="18">
        <f>redflag_questions!B55</f>
        <v>5.04</v>
      </c>
      <c r="C60" s="15">
        <f>STANDARDIZE(redflag_questions!C55,C$5,C$4)</f>
        <v>1.283969812</v>
      </c>
      <c r="D60" s="15">
        <f>STANDARDIZE(redflag_questions!D55,D$5,D$4)</f>
        <v>-0.3586479853</v>
      </c>
      <c r="E60" s="15">
        <f>STANDARDIZE(redflag_questions!E55,E$5,E$4)</f>
        <v>0.3869973682</v>
      </c>
      <c r="F60" s="15">
        <f>STANDARDIZE(redflag_questions!F55,F$5,F$4)</f>
        <v>-0.07221581447</v>
      </c>
      <c r="G60" s="15">
        <f>STANDARDIZE(redflag_questions!G55,G$5,G$4)</f>
        <v>-1.174423137</v>
      </c>
      <c r="H60" s="15">
        <f>STANDARDIZE(redflag_questions!H55,H$5,H$4)</f>
        <v>-1.243575264</v>
      </c>
      <c r="I60" s="15">
        <f>STANDARDIZE(redflag_questions!I55,I$5,I$4)</f>
        <v>-0.5884839675</v>
      </c>
      <c r="J60" s="15">
        <f>STANDARDIZE(redflag_questions!J55,J$5,J$4)</f>
        <v>0.4427673027</v>
      </c>
      <c r="K60" s="15">
        <f>STANDARDIZE(redflag_questions!K55,K$5,K$4)</f>
        <v>0.9201622566</v>
      </c>
      <c r="L60" s="15">
        <f>STANDARDIZE(redflag_questions!L55,L$5,L$4)</f>
        <v>0.2007653699</v>
      </c>
      <c r="M60" s="15">
        <f>STANDARDIZE(redflag_questions!M55,M$5,M$4)</f>
        <v>1.371516043</v>
      </c>
      <c r="N60" s="15">
        <f>STANDARDIZE(redflag_questions!N55,N$5,N$4)</f>
        <v>1.143028372</v>
      </c>
      <c r="O60" s="15">
        <f>STANDARDIZE(redflag_questions!O55,O$5,O$4)</f>
        <v>0.3842149665</v>
      </c>
      <c r="P60" s="15">
        <f>STANDARDIZE(redflag_questions!P55,P$5,P$4)</f>
        <v>-0.006289063301</v>
      </c>
      <c r="Q60" s="15">
        <f>STANDARDIZE(redflag_questions!Q55,Q$5,Q$4)</f>
        <v>0.1778768832</v>
      </c>
      <c r="R60" s="15">
        <f>STANDARDIZE(redflag_questions!R55,R$5,R$4)</f>
        <v>-0.2182720319</v>
      </c>
      <c r="S60" s="15">
        <f>STANDARDIZE(redflag_questions!S55,S$5,S$4)</f>
        <v>-1.093828221</v>
      </c>
      <c r="T60" s="15">
        <f>STANDARDIZE(redflag_questions!T55,T$5,T$4)</f>
        <v>0.909828836</v>
      </c>
      <c r="U60" s="15">
        <f>STANDARDIZE(redflag_questions!U55,U$5,U$4)</f>
        <v>-1.068125592</v>
      </c>
      <c r="V60" s="15">
        <f>STANDARDIZE(redflag_questions!V55,V$5,V$4)</f>
        <v>0.4553985123</v>
      </c>
      <c r="W60" s="15">
        <f>STANDARDIZE(redflag_questions!W55,W$5,W$4)</f>
        <v>-0.2499479424</v>
      </c>
      <c r="X60" s="15">
        <f>STANDARDIZE(redflag_questions!X55,X$5,X$4)</f>
        <v>-0.1186864611</v>
      </c>
      <c r="Y60" s="15">
        <f>STANDARDIZE(redflag_questions!Y55,Y$5,Y$4)</f>
        <v>0.7636366917</v>
      </c>
      <c r="Z60" s="15">
        <f>STANDARDIZE(redflag_questions!Z55,Z$5,Z$4)</f>
        <v>-0.4615077527</v>
      </c>
    </row>
    <row r="61">
      <c r="A61" s="11" t="str">
        <f>redflag_questions!A56</f>
        <v>Sie benutzt dich als Vertrauter ist aber kein Vertrauter für dich.</v>
      </c>
      <c r="B61" s="18">
        <f>redflag_questions!B56</f>
        <v>7.01</v>
      </c>
      <c r="C61" s="15">
        <f>STANDARDIZE(redflag_questions!C56,C$5,C$4)</f>
        <v>0.7162280585</v>
      </c>
      <c r="D61" s="15">
        <f>STANDARDIZE(redflag_questions!D56,D$5,D$4)</f>
        <v>0.3477798646</v>
      </c>
      <c r="E61" s="15">
        <f>STANDARDIZE(redflag_questions!E56,E$5,E$4)</f>
        <v>-1.781522367</v>
      </c>
      <c r="F61" s="15">
        <f>STANDARDIZE(redflag_questions!F56,F$5,F$4)</f>
        <v>0.8665897736</v>
      </c>
      <c r="G61" s="15">
        <f>STANDARDIZE(redflag_questions!G56,G$5,G$4)</f>
        <v>-0.5780363877</v>
      </c>
      <c r="H61" s="15">
        <f>STANDARDIZE(redflag_questions!H56,H$5,H$4)</f>
        <v>-0.2517667712</v>
      </c>
      <c r="I61" s="15">
        <f>STANDARDIZE(redflag_questions!I56,I$5,I$4)</f>
        <v>-0.104288298</v>
      </c>
      <c r="J61" s="15">
        <f>STANDARDIZE(redflag_questions!J56,J$5,J$4)</f>
        <v>1.265049436</v>
      </c>
      <c r="K61" s="15">
        <f>STANDARDIZE(redflag_questions!K56,K$5,K$4)</f>
        <v>0.9201622566</v>
      </c>
      <c r="L61" s="15">
        <f>STANDARDIZE(redflag_questions!L56,L$5,L$4)</f>
        <v>1.100748063</v>
      </c>
      <c r="M61" s="15">
        <f>STANDARDIZE(redflag_questions!M56,M$5,M$4)</f>
        <v>0.2571592581</v>
      </c>
      <c r="N61" s="15">
        <f>STANDARDIZE(redflag_questions!N56,N$5,N$4)</f>
        <v>0.6198111596</v>
      </c>
      <c r="O61" s="15">
        <f>STANDARDIZE(redflag_questions!O56,O$5,O$4)</f>
        <v>0.7626084941</v>
      </c>
      <c r="P61" s="15">
        <f>STANDARDIZE(redflag_questions!P56,P$5,P$4)</f>
        <v>1.22007828</v>
      </c>
      <c r="Q61" s="15">
        <f>STANDARDIZE(redflag_questions!Q56,Q$5,Q$4)</f>
        <v>0.1778768832</v>
      </c>
      <c r="R61" s="15">
        <f>STANDARDIZE(redflag_questions!R56,R$5,R$4)</f>
        <v>0.9640348075</v>
      </c>
      <c r="S61" s="15">
        <f>STANDARDIZE(redflag_questions!S56,S$5,S$4)</f>
        <v>0.5889844267</v>
      </c>
      <c r="T61" s="15">
        <f>STANDARDIZE(redflag_questions!T56,T$5,T$4)</f>
        <v>0.1797192762</v>
      </c>
      <c r="U61" s="15">
        <f>STANDARDIZE(redflag_questions!U56,U$5,U$4)</f>
        <v>1.541955741</v>
      </c>
      <c r="V61" s="15">
        <f>STANDARDIZE(redflag_questions!V56,V$5,V$4)</f>
        <v>0.7995950623</v>
      </c>
      <c r="W61" s="15">
        <f>STANDARDIZE(redflag_questions!W56,W$5,W$4)</f>
        <v>1.067345268</v>
      </c>
      <c r="X61" s="15">
        <f>STANDARDIZE(redflag_questions!X56,X$5,X$4)</f>
        <v>1.558404837</v>
      </c>
      <c r="Y61" s="15">
        <f>STANDARDIZE(redflag_questions!Y56,Y$5,Y$4)</f>
        <v>0.7636366917</v>
      </c>
      <c r="Z61" s="15">
        <f>STANDARDIZE(redflag_questions!Z56,Z$5,Z$4)</f>
        <v>0.4207864804</v>
      </c>
    </row>
    <row r="62">
      <c r="A62" s="11" t="str">
        <f>redflag_questions!A57</f>
        <v>Sie zeigt inkonsistenes Verhalten. Ihre Aussagen entsprechen nicht wie sich selbst gegenüber dir verhält.</v>
      </c>
      <c r="B62" s="18">
        <f>redflag_questions!B57</f>
        <v>6.35</v>
      </c>
      <c r="C62" s="15">
        <f>STANDARDIZE(redflag_questions!C57,C$5,C$4)</f>
        <v>1.283969812</v>
      </c>
      <c r="D62" s="15">
        <f>STANDARDIZE(redflag_questions!D57,D$5,D$4)</f>
        <v>0.3477798646</v>
      </c>
      <c r="E62" s="15">
        <f>STANDARDIZE(redflag_questions!E57,E$5,E$4)</f>
        <v>-0.9141144732</v>
      </c>
      <c r="F62" s="15">
        <f>STANDARDIZE(redflag_questions!F57,F$5,F$4)</f>
        <v>-0.07221581447</v>
      </c>
      <c r="G62" s="15">
        <f>STANDARDIZE(redflag_questions!G57,G$5,G$4)</f>
        <v>0.6147371107</v>
      </c>
      <c r="H62" s="15">
        <f>STANDARDIZE(redflag_questions!H57,H$5,H$4)</f>
        <v>0.7400417214</v>
      </c>
      <c r="I62" s="15">
        <f>STANDARDIZE(redflag_questions!I57,I$5,I$4)</f>
        <v>0.3799073714</v>
      </c>
      <c r="J62" s="15">
        <f>STANDARDIZE(redflag_questions!J57,J$5,J$4)</f>
        <v>-0.7906558978</v>
      </c>
      <c r="K62" s="15">
        <f>STANDARDIZE(redflag_questions!K57,K$5,K$4)</f>
        <v>0.9201622566</v>
      </c>
      <c r="L62" s="15">
        <f>STANDARDIZE(redflag_questions!L57,L$5,L$4)</f>
        <v>0.6507567163</v>
      </c>
      <c r="M62" s="15">
        <f>STANDARDIZE(redflag_questions!M57,M$5,M$4)</f>
        <v>-1.228649789</v>
      </c>
      <c r="N62" s="15">
        <f>STANDARDIZE(redflag_questions!N57,N$5,N$4)</f>
        <v>0.6198111596</v>
      </c>
      <c r="O62" s="15">
        <f>STANDARDIZE(redflag_questions!O57,O$5,O$4)</f>
        <v>0.3842149665</v>
      </c>
      <c r="P62" s="15">
        <f>STANDARDIZE(redflag_questions!P57,P$5,P$4)</f>
        <v>0.4025000513</v>
      </c>
      <c r="Q62" s="15">
        <f>STANDARDIZE(redflag_questions!Q57,Q$5,Q$4)</f>
        <v>0.9005017213</v>
      </c>
      <c r="R62" s="15">
        <f>STANDARDIZE(redflag_questions!R57,R$5,R$4)</f>
        <v>0.9640348075</v>
      </c>
      <c r="S62" s="15">
        <f>STANDARDIZE(redflag_questions!S57,S$5,S$4)</f>
        <v>0.5889844267</v>
      </c>
      <c r="T62" s="15">
        <f>STANDARDIZE(redflag_questions!T57,T$5,T$4)</f>
        <v>0.909828836</v>
      </c>
      <c r="U62" s="15">
        <f>STANDARDIZE(redflag_questions!U57,U$5,U$4)</f>
        <v>-0.546109325</v>
      </c>
      <c r="V62" s="15">
        <f>STANDARDIZE(redflag_questions!V57,V$5,V$4)</f>
        <v>0.7995950623</v>
      </c>
      <c r="W62" s="15">
        <f>STANDARDIZE(redflag_questions!W57,W$5,W$4)</f>
        <v>-0.2499479424</v>
      </c>
      <c r="X62" s="15">
        <f>STANDARDIZE(redflag_questions!X57,X$5,X$4)</f>
        <v>-0.4541047208</v>
      </c>
      <c r="Y62" s="15">
        <f>STANDARDIZE(redflag_questions!Y57,Y$5,Y$4)</f>
        <v>1.195257431</v>
      </c>
      <c r="Z62" s="15">
        <f>STANDARDIZE(redflag_questions!Z57,Z$5,Z$4)</f>
        <v>-0.02036063615</v>
      </c>
    </row>
    <row r="63">
      <c r="A63" s="11" t="str">
        <f>redflag_questions!A58</f>
        <v>Sie kann nicht mit negativen Gefühlen von anderen Menschen umgehen und nimmt diese direkt auf.</v>
      </c>
      <c r="B63" s="18">
        <f>redflag_questions!B58</f>
        <v>5.8</v>
      </c>
      <c r="C63" s="15">
        <f>STANDARDIZE(redflag_questions!C58,C$5,C$4)</f>
        <v>0.1484863048</v>
      </c>
      <c r="D63" s="15">
        <f>STANDARDIZE(redflag_questions!D58,D$5,D$4)</f>
        <v>-0.005434060384</v>
      </c>
      <c r="E63" s="15">
        <f>STANDARDIZE(redflag_questions!E58,E$5,E$4)</f>
        <v>-0.04670657892</v>
      </c>
      <c r="F63" s="15">
        <f>STANDARDIZE(redflag_questions!F58,F$5,F$4)</f>
        <v>-0.07221581447</v>
      </c>
      <c r="G63" s="15">
        <f>STANDARDIZE(redflag_questions!G58,G$5,G$4)</f>
        <v>-0.5780363877</v>
      </c>
      <c r="H63" s="15">
        <f>STANDARDIZE(redflag_questions!H58,H$5,H$4)</f>
        <v>0.2441374751</v>
      </c>
      <c r="I63" s="15">
        <f>STANDARDIZE(redflag_questions!I58,I$5,I$4)</f>
        <v>-0.104288298</v>
      </c>
      <c r="J63" s="15">
        <f>STANDARDIZE(redflag_questions!J58,J$5,J$4)</f>
        <v>-1.201796965</v>
      </c>
      <c r="K63" s="15">
        <f>STANDARDIZE(redflag_questions!K58,K$5,K$4)</f>
        <v>-0.4789148587</v>
      </c>
      <c r="L63" s="15">
        <f>STANDARDIZE(redflag_questions!L58,L$5,L$4)</f>
        <v>-1.599200016</v>
      </c>
      <c r="M63" s="15">
        <f>STANDARDIZE(redflag_questions!M58,M$5,M$4)</f>
        <v>-1.228649789</v>
      </c>
      <c r="N63" s="15">
        <f>STANDARDIZE(redflag_questions!N58,N$5,N$4)</f>
        <v>-0.4266232657</v>
      </c>
      <c r="O63" s="15">
        <f>STANDARDIZE(redflag_questions!O58,O$5,O$4)</f>
        <v>-0.3725720887</v>
      </c>
      <c r="P63" s="15">
        <f>STANDARDIZE(redflag_questions!P58,P$5,P$4)</f>
        <v>-0.006289063301</v>
      </c>
      <c r="Q63" s="15">
        <f>STANDARDIZE(redflag_questions!Q58,Q$5,Q$4)</f>
        <v>0.5391893023</v>
      </c>
      <c r="R63" s="15">
        <f>STANDARDIZE(redflag_questions!R58,R$5,R$4)</f>
        <v>0.3728813878</v>
      </c>
      <c r="S63" s="15">
        <f>STANDARDIZE(redflag_questions!S58,S$5,S$4)</f>
        <v>-0.2524218971</v>
      </c>
      <c r="T63" s="15">
        <f>STANDARDIZE(redflag_questions!T58,T$5,T$4)</f>
        <v>0.1797192762</v>
      </c>
      <c r="U63" s="15">
        <f>STANDARDIZE(redflag_questions!U58,U$5,U$4)</f>
        <v>-1.068125592</v>
      </c>
      <c r="V63" s="15">
        <f>STANDARDIZE(redflag_questions!V58,V$5,V$4)</f>
        <v>0.1112019623</v>
      </c>
      <c r="W63" s="15">
        <f>STANDARDIZE(redflag_questions!W58,W$5,W$4)</f>
        <v>-0.2499479424</v>
      </c>
      <c r="X63" s="15">
        <f>STANDARDIZE(redflag_questions!X58,X$5,X$4)</f>
        <v>-0.1186864611</v>
      </c>
      <c r="Y63" s="15">
        <f>STANDARDIZE(redflag_questions!Y58,Y$5,Y$4)</f>
        <v>0.7636366917</v>
      </c>
      <c r="Z63" s="15">
        <f>STANDARDIZE(redflag_questions!Z58,Z$5,Z$4)</f>
        <v>-0.02036063615</v>
      </c>
    </row>
    <row r="64">
      <c r="A64" s="11" t="str">
        <f>redflag_questions!A59</f>
        <v>Fakten und Logik spielen für sie kaum eine Rolle in der Bildung Ihrer Meinung.</v>
      </c>
      <c r="B64" s="18">
        <f>redflag_questions!B59</f>
        <v>6.33</v>
      </c>
      <c r="C64" s="15">
        <f>STANDARDIZE(redflag_questions!C59,C$5,C$4)</f>
        <v>-0.9869972026</v>
      </c>
      <c r="D64" s="15">
        <f>STANDARDIZE(redflag_questions!D59,D$5,D$4)</f>
        <v>-1.065075835</v>
      </c>
      <c r="E64" s="15">
        <f>STANDARDIZE(redflag_questions!E59,E$5,E$4)</f>
        <v>1.254405262</v>
      </c>
      <c r="F64" s="15">
        <f>STANDARDIZE(redflag_questions!F59,F$5,F$4)</f>
        <v>0.8665897736</v>
      </c>
      <c r="G64" s="15">
        <f>STANDARDIZE(redflag_questions!G59,G$5,G$4)</f>
        <v>-1.174423137</v>
      </c>
      <c r="H64" s="15">
        <f>STANDARDIZE(redflag_questions!H59,H$5,H$4)</f>
        <v>0.2441374751</v>
      </c>
      <c r="I64" s="15">
        <f>STANDARDIZE(redflag_questions!I59,I$5,I$4)</f>
        <v>0.3799073714</v>
      </c>
      <c r="J64" s="15">
        <f>STANDARDIZE(redflag_questions!J59,J$5,J$4)</f>
        <v>0.03162623591</v>
      </c>
      <c r="K64" s="15">
        <f>STANDARDIZE(redflag_questions!K59,K$5,K$4)</f>
        <v>1.269931535</v>
      </c>
      <c r="L64" s="15">
        <f>STANDARDIZE(redflag_questions!L59,L$5,L$4)</f>
        <v>-0.2492259765</v>
      </c>
      <c r="M64" s="15">
        <f>STANDARDIZE(redflag_questions!M59,M$5,M$4)</f>
        <v>1.371516043</v>
      </c>
      <c r="N64" s="15">
        <f>STANDARDIZE(redflag_questions!N59,N$5,N$4)</f>
        <v>1.143028372</v>
      </c>
      <c r="O64" s="15">
        <f>STANDARDIZE(redflag_questions!O59,O$5,O$4)</f>
        <v>0.7626084941</v>
      </c>
      <c r="P64" s="15">
        <f>STANDARDIZE(redflag_questions!P59,P$5,P$4)</f>
        <v>-0.006289063301</v>
      </c>
      <c r="Q64" s="15">
        <f>STANDARDIZE(redflag_questions!Q59,Q$5,Q$4)</f>
        <v>0.9005017213</v>
      </c>
      <c r="R64" s="15">
        <f>STANDARDIZE(redflag_questions!R59,R$5,R$4)</f>
        <v>0.3728813878</v>
      </c>
      <c r="S64" s="15">
        <f>STANDARDIZE(redflag_questions!S59,S$5,S$4)</f>
        <v>0.5889844267</v>
      </c>
      <c r="T64" s="15">
        <f>STANDARDIZE(redflag_questions!T59,T$5,T$4)</f>
        <v>0.1797192762</v>
      </c>
      <c r="U64" s="15">
        <f>STANDARDIZE(redflag_questions!U59,U$5,U$4)</f>
        <v>-1.590141858</v>
      </c>
      <c r="V64" s="15">
        <f>STANDARDIZE(redflag_questions!V59,V$5,V$4)</f>
        <v>1.143791612</v>
      </c>
      <c r="W64" s="15">
        <f>STANDARDIZE(redflag_questions!W59,W$5,W$4)</f>
        <v>0.628247531</v>
      </c>
      <c r="X64" s="15">
        <f>STANDARDIZE(redflag_questions!X59,X$5,X$4)</f>
        <v>0.8875683179</v>
      </c>
      <c r="Y64" s="15">
        <f>STANDARDIZE(redflag_questions!Y59,Y$5,Y$4)</f>
        <v>1.195257431</v>
      </c>
      <c r="Z64" s="15">
        <f>STANDARDIZE(redflag_questions!Z59,Z$5,Z$4)</f>
        <v>-1.343801986</v>
      </c>
    </row>
    <row r="65">
      <c r="A65" s="11" t="str">
        <f>redflag_questions!A60</f>
        <v>Sie befindet sich gerade in psychologischer Therapie.</v>
      </c>
      <c r="B65" s="18">
        <f>redflag_questions!B60</f>
        <v>3.97</v>
      </c>
      <c r="C65" s="15">
        <f>STANDARDIZE(redflag_questions!C60,C$5,C$4)</f>
        <v>-0.9869972026</v>
      </c>
      <c r="D65" s="15">
        <f>STANDARDIZE(redflag_questions!D60,D$5,D$4)</f>
        <v>-0.3586479853</v>
      </c>
      <c r="E65" s="15">
        <f>STANDARDIZE(redflag_questions!E60,E$5,E$4)</f>
        <v>-2.215226315</v>
      </c>
      <c r="F65" s="15">
        <f>STANDARDIZE(redflag_questions!F60,F$5,F$4)</f>
        <v>0.8665897736</v>
      </c>
      <c r="G65" s="15">
        <f>STANDARDIZE(redflag_questions!G60,G$5,G$4)</f>
        <v>0.01835036151</v>
      </c>
      <c r="H65" s="15">
        <f>STANDARDIZE(redflag_questions!H60,H$5,H$4)</f>
        <v>1.235945968</v>
      </c>
      <c r="I65" s="15">
        <f>STANDARDIZE(redflag_questions!I60,I$5,I$4)</f>
        <v>-0.104288298</v>
      </c>
      <c r="J65" s="15">
        <f>STANDARDIZE(redflag_questions!J60,J$5,J$4)</f>
        <v>-1.201796965</v>
      </c>
      <c r="K65" s="15">
        <f>STANDARDIZE(redflag_questions!K60,K$5,K$4)</f>
        <v>-1.877991974</v>
      </c>
      <c r="L65" s="15">
        <f>STANDARDIZE(redflag_questions!L60,L$5,L$4)</f>
        <v>-1.149208669</v>
      </c>
      <c r="M65" s="15">
        <f>STANDARDIZE(redflag_questions!M60,M$5,M$4)</f>
        <v>-0.4857452654</v>
      </c>
      <c r="N65" s="15">
        <f>STANDARDIZE(redflag_questions!N60,N$5,N$4)</f>
        <v>-0.9498404784</v>
      </c>
      <c r="O65" s="15">
        <f>STANDARDIZE(redflag_questions!O60,O$5,O$4)</f>
        <v>-1.886146199</v>
      </c>
      <c r="P65" s="15">
        <f>STANDARDIZE(redflag_questions!P60,P$5,P$4)</f>
        <v>-1.232656407</v>
      </c>
      <c r="Q65" s="15">
        <f>STANDARDIZE(redflag_questions!Q60,Q$5,Q$4)</f>
        <v>-1.267372793</v>
      </c>
      <c r="R65" s="15">
        <f>STANDARDIZE(redflag_questions!R60,R$5,R$4)</f>
        <v>-0.8094254516</v>
      </c>
      <c r="S65" s="15">
        <f>STANDARDIZE(redflag_questions!S60,S$5,S$4)</f>
        <v>1.009687589</v>
      </c>
      <c r="T65" s="15">
        <f>STANDARDIZE(redflag_questions!T60,T$5,T$4)</f>
        <v>-2.010609403</v>
      </c>
      <c r="U65" s="15">
        <f>STANDARDIZE(redflag_questions!U60,U$5,U$4)</f>
        <v>-1.590141858</v>
      </c>
      <c r="V65" s="15">
        <f>STANDARDIZE(redflag_questions!V60,V$5,V$4)</f>
        <v>-1.609780788</v>
      </c>
      <c r="W65" s="15">
        <f>STANDARDIZE(redflag_questions!W60,W$5,W$4)</f>
        <v>-1.567241153</v>
      </c>
      <c r="X65" s="15">
        <f>STANDARDIZE(redflag_questions!X60,X$5,X$4)</f>
        <v>-1.12494124</v>
      </c>
      <c r="Y65" s="15">
        <f>STANDARDIZE(redflag_questions!Y60,Y$5,Y$4)</f>
        <v>-1.394467002</v>
      </c>
      <c r="Z65" s="15">
        <f>STANDARDIZE(redflag_questions!Z60,Z$5,Z$4)</f>
        <v>0.4207864804</v>
      </c>
    </row>
    <row r="66">
      <c r="A66" s="11" t="str">
        <f>redflag_questions!A61</f>
        <v>Sie hat häufig keine Zeit für dich.</v>
      </c>
      <c r="B66" s="18">
        <f>redflag_questions!B61</f>
        <v>5.24</v>
      </c>
      <c r="C66" s="15">
        <f>STANDARDIZE(redflag_questions!C61,C$5,C$4)</f>
        <v>0.7162280585</v>
      </c>
      <c r="D66" s="15">
        <f>STANDARDIZE(redflag_questions!D61,D$5,D$4)</f>
        <v>0.3477798646</v>
      </c>
      <c r="E66" s="15">
        <f>STANDARDIZE(redflag_questions!E61,E$5,E$4)</f>
        <v>-0.9141144732</v>
      </c>
      <c r="F66" s="15">
        <f>STANDARDIZE(redflag_questions!F61,F$5,F$4)</f>
        <v>-1.011021403</v>
      </c>
      <c r="G66" s="15">
        <f>STANDARDIZE(redflag_questions!G61,G$5,G$4)</f>
        <v>0.6147371107</v>
      </c>
      <c r="H66" s="15">
        <f>STANDARDIZE(redflag_questions!H61,H$5,H$4)</f>
        <v>1.235945968</v>
      </c>
      <c r="I66" s="15">
        <f>STANDARDIZE(redflag_questions!I61,I$5,I$4)</f>
        <v>0.3799073714</v>
      </c>
      <c r="J66" s="15">
        <f>STANDARDIZE(redflag_questions!J61,J$5,J$4)</f>
        <v>0.8539083696</v>
      </c>
      <c r="K66" s="15">
        <f>STANDARDIZE(redflag_questions!K61,K$5,K$4)</f>
        <v>-0.4789148587</v>
      </c>
      <c r="L66" s="15">
        <f>STANDARDIZE(redflag_questions!L61,L$5,L$4)</f>
        <v>0.2007653699</v>
      </c>
      <c r="M66" s="15">
        <f>STANDARDIZE(redflag_questions!M61,M$5,M$4)</f>
        <v>-0.4857452654</v>
      </c>
      <c r="N66" s="15">
        <f>STANDARDIZE(redflag_questions!N61,N$5,N$4)</f>
        <v>0.09659394696</v>
      </c>
      <c r="O66" s="15">
        <f>STANDARDIZE(redflag_questions!O61,O$5,O$4)</f>
        <v>0.3842149665</v>
      </c>
      <c r="P66" s="15">
        <f>STANDARDIZE(redflag_questions!P61,P$5,P$4)</f>
        <v>-0.8238672925</v>
      </c>
      <c r="Q66" s="15">
        <f>STANDARDIZE(redflag_questions!Q61,Q$5,Q$4)</f>
        <v>0.5391893023</v>
      </c>
      <c r="R66" s="15">
        <f>STANDARDIZE(redflag_questions!R61,R$5,R$4)</f>
        <v>0.9640348075</v>
      </c>
      <c r="S66" s="15">
        <f>STANDARDIZE(redflag_questions!S61,S$5,S$4)</f>
        <v>0.5889844267</v>
      </c>
      <c r="T66" s="15">
        <f>STANDARDIZE(redflag_questions!T61,T$5,T$4)</f>
        <v>0.1797192762</v>
      </c>
      <c r="U66" s="15">
        <f>STANDARDIZE(redflag_questions!U61,U$5,U$4)</f>
        <v>1.541955741</v>
      </c>
      <c r="V66" s="15">
        <f>STANDARDIZE(redflag_questions!V61,V$5,V$4)</f>
        <v>0.4553985123</v>
      </c>
      <c r="W66" s="15">
        <f>STANDARDIZE(redflag_questions!W61,W$5,W$4)</f>
        <v>0.628247531</v>
      </c>
      <c r="X66" s="15">
        <f>STANDARDIZE(redflag_questions!X61,X$5,X$4)</f>
        <v>-1.12494124</v>
      </c>
      <c r="Y66" s="15">
        <f>STANDARDIZE(redflag_questions!Y61,Y$5,Y$4)</f>
        <v>0.7636366917</v>
      </c>
      <c r="Z66" s="15">
        <f>STANDARDIZE(redflag_questions!Z61,Z$5,Z$4)</f>
        <v>0.861933597</v>
      </c>
    </row>
    <row r="67">
      <c r="A67" s="11" t="str">
        <f>redflag_questions!A62</f>
        <v>Sie lästert stark und häufig über andere Menschen.</v>
      </c>
      <c r="B67" s="18">
        <f>redflag_questions!B62</f>
        <v>6.28</v>
      </c>
      <c r="C67" s="15">
        <f>STANDARDIZE(redflag_questions!C62,C$5,C$4)</f>
        <v>0.1484863048</v>
      </c>
      <c r="D67" s="15">
        <f>STANDARDIZE(redflag_questions!D62,D$5,D$4)</f>
        <v>0.7009937895</v>
      </c>
      <c r="E67" s="15">
        <f>STANDARDIZE(redflag_questions!E62,E$5,E$4)</f>
        <v>1.254405262</v>
      </c>
      <c r="F67" s="15">
        <f>STANDARDIZE(redflag_questions!F62,F$5,F$4)</f>
        <v>0.8665897736</v>
      </c>
      <c r="G67" s="15">
        <f>STANDARDIZE(redflag_questions!G62,G$5,G$4)</f>
        <v>0.01835036151</v>
      </c>
      <c r="H67" s="15">
        <f>STANDARDIZE(redflag_questions!H62,H$5,H$4)</f>
        <v>-1.243575264</v>
      </c>
      <c r="I67" s="15">
        <f>STANDARDIZE(redflag_questions!I62,I$5,I$4)</f>
        <v>0.3799073714</v>
      </c>
      <c r="J67" s="15">
        <f>STANDARDIZE(redflag_questions!J62,J$5,J$4)</f>
        <v>0.03162623591</v>
      </c>
      <c r="K67" s="15">
        <f>STANDARDIZE(redflag_questions!K62,K$5,K$4)</f>
        <v>-0.1291455799</v>
      </c>
      <c r="L67" s="15">
        <f>STANDARDIZE(redflag_questions!L62,L$5,L$4)</f>
        <v>1.100748063</v>
      </c>
      <c r="M67" s="15">
        <f>STANDARDIZE(redflag_questions!M62,M$5,M$4)</f>
        <v>1.000063782</v>
      </c>
      <c r="N67" s="15">
        <f>STANDARDIZE(redflag_questions!N62,N$5,N$4)</f>
        <v>1.143028372</v>
      </c>
      <c r="O67" s="15">
        <f>STANDARDIZE(redflag_questions!O62,O$5,O$4)</f>
        <v>0.3842149665</v>
      </c>
      <c r="P67" s="15">
        <f>STANDARDIZE(redflag_questions!P62,P$5,P$4)</f>
        <v>-0.006289063301</v>
      </c>
      <c r="Q67" s="15">
        <f>STANDARDIZE(redflag_questions!Q62,Q$5,Q$4)</f>
        <v>-0.5447479549</v>
      </c>
      <c r="R67" s="15">
        <f>STANDARDIZE(redflag_questions!R62,R$5,R$4)</f>
        <v>0.3728813878</v>
      </c>
      <c r="S67" s="15">
        <f>STANDARDIZE(redflag_questions!S62,S$5,S$4)</f>
        <v>0.1682812648</v>
      </c>
      <c r="T67" s="15">
        <f>STANDARDIZE(redflag_questions!T62,T$5,T$4)</f>
        <v>0.909828836</v>
      </c>
      <c r="U67" s="15">
        <f>STANDARDIZE(redflag_questions!U62,U$5,U$4)</f>
        <v>-0.02409305846</v>
      </c>
      <c r="V67" s="15">
        <f>STANDARDIZE(redflag_questions!V62,V$5,V$4)</f>
        <v>0.7995950623</v>
      </c>
      <c r="W67" s="15">
        <f>STANDARDIZE(redflag_questions!W62,W$5,W$4)</f>
        <v>0.1891497943</v>
      </c>
      <c r="X67" s="15">
        <f>STANDARDIZE(redflag_questions!X62,X$5,X$4)</f>
        <v>-0.4541047208</v>
      </c>
      <c r="Y67" s="15">
        <f>STANDARDIZE(redflag_questions!Y62,Y$5,Y$4)</f>
        <v>1.195257431</v>
      </c>
      <c r="Z67" s="15">
        <f>STANDARDIZE(redflag_questions!Z62,Z$5,Z$4)</f>
        <v>-0.4615077527</v>
      </c>
    </row>
    <row r="68">
      <c r="A68" s="11" t="str">
        <f>redflag_questions!A63</f>
        <v>Sie ist häufig unzuverlässig.</v>
      </c>
      <c r="B68" s="18">
        <f>redflag_questions!B63</f>
        <v>6.42</v>
      </c>
      <c r="C68" s="15">
        <f>STANDARDIZE(redflag_questions!C63,C$5,C$4)</f>
        <v>1.283969812</v>
      </c>
      <c r="D68" s="15">
        <f>STANDARDIZE(redflag_questions!D63,D$5,D$4)</f>
        <v>-0.7118619103</v>
      </c>
      <c r="E68" s="15">
        <f>STANDARDIZE(redflag_questions!E63,E$5,E$4)</f>
        <v>1.254405262</v>
      </c>
      <c r="F68" s="15">
        <f>STANDARDIZE(redflag_questions!F63,F$5,F$4)</f>
        <v>-1.011021403</v>
      </c>
      <c r="G68" s="15">
        <f>STANDARDIZE(redflag_questions!G63,G$5,G$4)</f>
        <v>1.21112386</v>
      </c>
      <c r="H68" s="15">
        <f>STANDARDIZE(redflag_questions!H63,H$5,H$4)</f>
        <v>0.2441374751</v>
      </c>
      <c r="I68" s="15">
        <f>STANDARDIZE(redflag_questions!I63,I$5,I$4)</f>
        <v>-0.5884839675</v>
      </c>
      <c r="J68" s="15">
        <f>STANDARDIZE(redflag_questions!J63,J$5,J$4)</f>
        <v>0.4427673027</v>
      </c>
      <c r="K68" s="15">
        <f>STANDARDIZE(redflag_questions!K63,K$5,K$4)</f>
        <v>0.2206236989</v>
      </c>
      <c r="L68" s="15">
        <f>STANDARDIZE(redflag_questions!L63,L$5,L$4)</f>
        <v>0.2007653699</v>
      </c>
      <c r="M68" s="15">
        <f>STANDARDIZE(redflag_questions!M63,M$5,M$4)</f>
        <v>0.6286115199</v>
      </c>
      <c r="N68" s="15">
        <f>STANDARDIZE(redflag_questions!N63,N$5,N$4)</f>
        <v>0.09659394696</v>
      </c>
      <c r="O68" s="15">
        <f>STANDARDIZE(redflag_questions!O63,O$5,O$4)</f>
        <v>0.7626084941</v>
      </c>
      <c r="P68" s="15">
        <f>STANDARDIZE(redflag_questions!P63,P$5,P$4)</f>
        <v>-0.006289063301</v>
      </c>
      <c r="Q68" s="15">
        <f>STANDARDIZE(redflag_questions!Q63,Q$5,Q$4)</f>
        <v>0.5391893023</v>
      </c>
      <c r="R68" s="15">
        <f>STANDARDIZE(redflag_questions!R63,R$5,R$4)</f>
        <v>0.9640348075</v>
      </c>
      <c r="S68" s="15">
        <f>STANDARDIZE(redflag_questions!S63,S$5,S$4)</f>
        <v>0.1682812648</v>
      </c>
      <c r="T68" s="15">
        <f>STANDARDIZE(redflag_questions!T63,T$5,T$4)</f>
        <v>0.1797192762</v>
      </c>
      <c r="U68" s="15">
        <f>STANDARDIZE(redflag_questions!U63,U$5,U$4)</f>
        <v>0.4979232081</v>
      </c>
      <c r="V68" s="15">
        <f>STANDARDIZE(redflag_questions!V63,V$5,V$4)</f>
        <v>1.143791612</v>
      </c>
      <c r="W68" s="15">
        <f>STANDARDIZE(redflag_questions!W63,W$5,W$4)</f>
        <v>0.628247531</v>
      </c>
      <c r="X68" s="15">
        <f>STANDARDIZE(redflag_questions!X63,X$5,X$4)</f>
        <v>0.8875683179</v>
      </c>
      <c r="Y68" s="15">
        <f>STANDARDIZE(redflag_questions!Y63,Y$5,Y$4)</f>
        <v>1.195257431</v>
      </c>
      <c r="Z68" s="15">
        <f>STANDARDIZE(redflag_questions!Z63,Z$5,Z$4)</f>
        <v>0.4207864804</v>
      </c>
    </row>
    <row r="69">
      <c r="A69" s="11" t="str">
        <f>redflag_questions!A64</f>
        <v>Sie hat kein Selbstbewusstsein.</v>
      </c>
      <c r="B69" s="18">
        <f>redflag_questions!B64</f>
        <v>4.32</v>
      </c>
      <c r="C69" s="15">
        <f>STANDARDIZE(redflag_questions!C64,C$5,C$4)</f>
        <v>0.1484863048</v>
      </c>
      <c r="D69" s="15">
        <f>STANDARDIZE(redflag_questions!D64,D$5,D$4)</f>
        <v>-1.41828976</v>
      </c>
      <c r="E69" s="15">
        <f>STANDARDIZE(redflag_questions!E64,E$5,E$4)</f>
        <v>-0.9141144732</v>
      </c>
      <c r="F69" s="15">
        <f>STANDARDIZE(redflag_questions!F64,F$5,F$4)</f>
        <v>-1.480424197</v>
      </c>
      <c r="G69" s="15">
        <f>STANDARDIZE(redflag_questions!G64,G$5,G$4)</f>
        <v>-0.5780363877</v>
      </c>
      <c r="H69" s="15">
        <f>STANDARDIZE(redflag_questions!H64,H$5,H$4)</f>
        <v>-1.243575264</v>
      </c>
      <c r="I69" s="15">
        <f>STANDARDIZE(redflag_questions!I64,I$5,I$4)</f>
        <v>0.8641030409</v>
      </c>
      <c r="J69" s="15">
        <f>STANDARDIZE(redflag_questions!J64,J$5,J$4)</f>
        <v>0.03162623591</v>
      </c>
      <c r="K69" s="15">
        <f>STANDARDIZE(redflag_questions!K64,K$5,K$4)</f>
        <v>-0.4789148587</v>
      </c>
      <c r="L69" s="15">
        <f>STANDARDIZE(redflag_questions!L64,L$5,L$4)</f>
        <v>-0.6992173229</v>
      </c>
      <c r="M69" s="15">
        <f>STANDARDIZE(redflag_questions!M64,M$5,M$4)</f>
        <v>1.371516043</v>
      </c>
      <c r="N69" s="15">
        <f>STANDARDIZE(redflag_questions!N64,N$5,N$4)</f>
        <v>-0.4266232657</v>
      </c>
      <c r="O69" s="15">
        <f>STANDARDIZE(redflag_questions!O64,O$5,O$4)</f>
        <v>0.3842149665</v>
      </c>
      <c r="P69" s="15">
        <f>STANDARDIZE(redflag_questions!P64,P$5,P$4)</f>
        <v>0.4025000513</v>
      </c>
      <c r="Q69" s="15">
        <f>STANDARDIZE(redflag_questions!Q64,Q$5,Q$4)</f>
        <v>-0.5447479549</v>
      </c>
      <c r="R69" s="15">
        <f>STANDARDIZE(redflag_questions!R64,R$5,R$4)</f>
        <v>1.555188227</v>
      </c>
      <c r="S69" s="15">
        <f>STANDARDIZE(redflag_questions!S64,S$5,S$4)</f>
        <v>-1.093828221</v>
      </c>
      <c r="T69" s="15">
        <f>STANDARDIZE(redflag_questions!T64,T$5,T$4)</f>
        <v>-0.5503902835</v>
      </c>
      <c r="U69" s="15">
        <f>STANDARDIZE(redflag_questions!U64,U$5,U$4)</f>
        <v>2.063972008</v>
      </c>
      <c r="V69" s="15">
        <f>STANDARDIZE(redflag_questions!V64,V$5,V$4)</f>
        <v>0.7995950623</v>
      </c>
      <c r="W69" s="15">
        <f>STANDARDIZE(redflag_questions!W64,W$5,W$4)</f>
        <v>1.067345268</v>
      </c>
      <c r="X69" s="15">
        <f>STANDARDIZE(redflag_questions!X64,X$5,X$4)</f>
        <v>1.222986578</v>
      </c>
      <c r="Y69" s="15">
        <f>STANDARDIZE(redflag_questions!Y64,Y$5,Y$4)</f>
        <v>0.7636366917</v>
      </c>
      <c r="Z69" s="15">
        <f>STANDARDIZE(redflag_questions!Z64,Z$5,Z$4)</f>
        <v>-0.02036063615</v>
      </c>
    </row>
    <row r="70">
      <c r="A70" s="11" t="str">
        <f>redflag_questions!A65</f>
        <v>Sie hat eine mangelnde Intelligenz oder Bildung.</v>
      </c>
      <c r="B70" s="18">
        <f>redflag_questions!B65</f>
        <v>4.6</v>
      </c>
      <c r="C70" s="15">
        <f>STANDARDIZE(redflag_questions!C65,C$5,C$4)</f>
        <v>-0.9869972026</v>
      </c>
      <c r="D70" s="15">
        <f>STANDARDIZE(redflag_questions!D65,D$5,D$4)</f>
        <v>-1.065075835</v>
      </c>
      <c r="E70" s="15">
        <f>STANDARDIZE(redflag_questions!E65,E$5,E$4)</f>
        <v>-0.9141144732</v>
      </c>
      <c r="F70" s="15">
        <f>STANDARDIZE(redflag_questions!F65,F$5,F$4)</f>
        <v>-1.011021403</v>
      </c>
      <c r="G70" s="15">
        <f>STANDARDIZE(redflag_questions!G65,G$5,G$4)</f>
        <v>-0.5780363877</v>
      </c>
      <c r="H70" s="15">
        <f>STANDARDIZE(redflag_questions!H65,H$5,H$4)</f>
        <v>0.2441374751</v>
      </c>
      <c r="I70" s="15">
        <f>STANDARDIZE(redflag_questions!I65,I$5,I$4)</f>
        <v>-0.5884839675</v>
      </c>
      <c r="J70" s="15">
        <f>STANDARDIZE(redflag_questions!J65,J$5,J$4)</f>
        <v>-1.612938031</v>
      </c>
      <c r="K70" s="15">
        <f>STANDARDIZE(redflag_questions!K65,K$5,K$4)</f>
        <v>1.269931535</v>
      </c>
      <c r="L70" s="15">
        <f>STANDARDIZE(redflag_questions!L65,L$5,L$4)</f>
        <v>-0.2492259765</v>
      </c>
      <c r="M70" s="15">
        <f>STANDARDIZE(redflag_questions!M65,M$5,M$4)</f>
        <v>1.371516043</v>
      </c>
      <c r="N70" s="15">
        <f>STANDARDIZE(redflag_questions!N65,N$5,N$4)</f>
        <v>-0.9498404784</v>
      </c>
      <c r="O70" s="15">
        <f>STANDARDIZE(redflag_questions!O65,O$5,O$4)</f>
        <v>0.7626084941</v>
      </c>
      <c r="P70" s="15">
        <f>STANDARDIZE(redflag_questions!P65,P$5,P$4)</f>
        <v>-1.641445522</v>
      </c>
      <c r="Q70" s="15">
        <f>STANDARDIZE(redflag_questions!Q65,Q$5,Q$4)</f>
        <v>0.5391893023</v>
      </c>
      <c r="R70" s="15">
        <f>STANDARDIZE(redflag_questions!R65,R$5,R$4)</f>
        <v>0.3728813878</v>
      </c>
      <c r="S70" s="15">
        <f>STANDARDIZE(redflag_questions!S65,S$5,S$4)</f>
        <v>0.1682812648</v>
      </c>
      <c r="T70" s="15">
        <f>STANDARDIZE(redflag_questions!T65,T$5,T$4)</f>
        <v>-0.5503902835</v>
      </c>
      <c r="U70" s="15">
        <f>STANDARDIZE(redflag_questions!U65,U$5,U$4)</f>
        <v>1.019939475</v>
      </c>
      <c r="V70" s="15">
        <f>STANDARDIZE(redflag_questions!V65,V$5,V$4)</f>
        <v>-0.2329945877</v>
      </c>
      <c r="W70" s="15">
        <f>STANDARDIZE(redflag_questions!W65,W$5,W$4)</f>
        <v>1.067345268</v>
      </c>
      <c r="X70" s="15">
        <f>STANDARDIZE(redflag_questions!X65,X$5,X$4)</f>
        <v>-1.12494124</v>
      </c>
      <c r="Y70" s="15">
        <f>STANDARDIZE(redflag_questions!Y65,Y$5,Y$4)</f>
        <v>-1.394467002</v>
      </c>
      <c r="Z70" s="15">
        <f>STANDARDIZE(redflag_questions!Z65,Z$5,Z$4)</f>
        <v>-0.02036063615</v>
      </c>
    </row>
    <row r="71">
      <c r="A71" s="11" t="str">
        <f>redflag_questions!A66</f>
        <v>Sie kann nicht klar kommunizieren.</v>
      </c>
      <c r="B71" s="18">
        <f>redflag_questions!B66</f>
        <v>4.79</v>
      </c>
      <c r="C71" s="15">
        <f>STANDARDIZE(redflag_questions!C66,C$5,C$4)</f>
        <v>1.283969812</v>
      </c>
      <c r="D71" s="15">
        <f>STANDARDIZE(redflag_questions!D66,D$5,D$4)</f>
        <v>0.3477798646</v>
      </c>
      <c r="E71" s="15">
        <f>STANDARDIZE(redflag_questions!E66,E$5,E$4)</f>
        <v>-0.9141144732</v>
      </c>
      <c r="F71" s="15">
        <f>STANDARDIZE(redflag_questions!F66,F$5,F$4)</f>
        <v>-0.5416186085</v>
      </c>
      <c r="G71" s="15">
        <f>STANDARDIZE(redflag_questions!G66,G$5,G$4)</f>
        <v>-1.174423137</v>
      </c>
      <c r="H71" s="15">
        <f>STANDARDIZE(redflag_questions!H66,H$5,H$4)</f>
        <v>0.7400417214</v>
      </c>
      <c r="I71" s="15">
        <f>STANDARDIZE(redflag_questions!I66,I$5,I$4)</f>
        <v>-1.072679637</v>
      </c>
      <c r="J71" s="15">
        <f>STANDARDIZE(redflag_questions!J66,J$5,J$4)</f>
        <v>-0.7906558978</v>
      </c>
      <c r="K71" s="15">
        <f>STANDARDIZE(redflag_questions!K66,K$5,K$4)</f>
        <v>1.269931535</v>
      </c>
      <c r="L71" s="15">
        <f>STANDARDIZE(redflag_questions!L66,L$5,L$4)</f>
        <v>-0.2492259765</v>
      </c>
      <c r="M71" s="15">
        <f>STANDARDIZE(redflag_questions!M66,M$5,M$4)</f>
        <v>1.371516043</v>
      </c>
      <c r="N71" s="15">
        <f>STANDARDIZE(redflag_questions!N66,N$5,N$4)</f>
        <v>0.09659394696</v>
      </c>
      <c r="O71" s="15">
        <f>STANDARDIZE(redflag_questions!O66,O$5,O$4)</f>
        <v>0.7626084941</v>
      </c>
      <c r="P71" s="15">
        <f>STANDARDIZE(redflag_questions!P66,P$5,P$4)</f>
        <v>-0.8238672925</v>
      </c>
      <c r="Q71" s="15">
        <f>STANDARDIZE(redflag_questions!Q66,Q$5,Q$4)</f>
        <v>0.5391893023</v>
      </c>
      <c r="R71" s="15">
        <f>STANDARDIZE(redflag_questions!R66,R$5,R$4)</f>
        <v>1.555188227</v>
      </c>
      <c r="S71" s="15">
        <f>STANDARDIZE(redflag_questions!S66,S$5,S$4)</f>
        <v>0.1682812648</v>
      </c>
      <c r="T71" s="15">
        <f>STANDARDIZE(redflag_questions!T66,T$5,T$4)</f>
        <v>-0.5503902835</v>
      </c>
      <c r="U71" s="15">
        <f>STANDARDIZE(redflag_questions!U66,U$5,U$4)</f>
        <v>1.541955741</v>
      </c>
      <c r="V71" s="15">
        <f>STANDARDIZE(redflag_questions!V66,V$5,V$4)</f>
        <v>0.4553985123</v>
      </c>
      <c r="W71" s="15">
        <f>STANDARDIZE(redflag_questions!W66,W$5,W$4)</f>
        <v>-0.6890456792</v>
      </c>
      <c r="X71" s="15">
        <f>STANDARDIZE(redflag_questions!X66,X$5,X$4)</f>
        <v>-0.4541047208</v>
      </c>
      <c r="Y71" s="15">
        <f>STANDARDIZE(redflag_questions!Y66,Y$5,Y$4)</f>
        <v>0.7636366917</v>
      </c>
      <c r="Z71" s="15">
        <f>STANDARDIZE(redflag_questions!Z66,Z$5,Z$4)</f>
        <v>-0.4615077527</v>
      </c>
    </row>
    <row r="72">
      <c r="A72" s="11" t="str">
        <f>redflag_questions!A67</f>
        <v/>
      </c>
      <c r="B72" s="18" t="str">
        <f>redflag_questions!B67</f>
        <v/>
      </c>
      <c r="C72" s="15" t="str">
        <f>redflag_questions!C67</f>
        <v/>
      </c>
      <c r="D72" s="15" t="str">
        <f>redflag_questions!D67</f>
        <v/>
      </c>
      <c r="E72" s="15" t="str">
        <f>redflag_questions!E67</f>
        <v/>
      </c>
      <c r="F72" s="15" t="str">
        <f>redflag_questions!F67</f>
        <v/>
      </c>
      <c r="G72" s="15" t="str">
        <f>redflag_questions!G67</f>
        <v/>
      </c>
      <c r="H72" s="15" t="str">
        <f>redflag_questions!H67</f>
        <v/>
      </c>
      <c r="I72" s="15" t="str">
        <f>redflag_questions!I67</f>
        <v/>
      </c>
      <c r="J72" s="15" t="str">
        <f>redflag_questions!J67</f>
        <v/>
      </c>
      <c r="K72" s="15" t="str">
        <f>redflag_questions!K67</f>
        <v/>
      </c>
      <c r="L72" s="15" t="str">
        <f>redflag_questions!L67</f>
        <v/>
      </c>
      <c r="M72" s="15" t="str">
        <f>redflag_questions!M67</f>
        <v/>
      </c>
    </row>
    <row r="73">
      <c r="A73" s="11" t="str">
        <f>redflag_questions!A68</f>
        <v/>
      </c>
      <c r="B73" s="18" t="str">
        <f>redflag_questions!B68</f>
        <v/>
      </c>
      <c r="C73" s="15" t="str">
        <f>redflag_questions!C68</f>
        <v/>
      </c>
      <c r="D73" s="15" t="str">
        <f>redflag_questions!D68</f>
        <v/>
      </c>
      <c r="E73" s="15" t="str">
        <f>redflag_questions!E68</f>
        <v/>
      </c>
      <c r="F73" s="15" t="str">
        <f>redflag_questions!F68</f>
        <v/>
      </c>
      <c r="G73" s="15" t="str">
        <f>redflag_questions!G68</f>
        <v/>
      </c>
      <c r="H73" s="15" t="str">
        <f>redflag_questions!H68</f>
        <v/>
      </c>
      <c r="I73" s="15" t="str">
        <f>redflag_questions!I68</f>
        <v/>
      </c>
      <c r="J73" s="15" t="str">
        <f>redflag_questions!J68</f>
        <v/>
      </c>
      <c r="K73" s="15" t="str">
        <f>redflag_questions!K68</f>
        <v/>
      </c>
      <c r="L73" s="15" t="str">
        <f>redflag_questions!L68</f>
        <v/>
      </c>
      <c r="M73" s="15" t="str">
        <f>redflag_questions!M68</f>
        <v/>
      </c>
    </row>
    <row r="74">
      <c r="A74" s="11" t="str">
        <f>redflag_questions!A69</f>
        <v/>
      </c>
      <c r="B74" s="18" t="str">
        <f>redflag_questions!B69</f>
        <v/>
      </c>
      <c r="C74" s="15" t="str">
        <f>redflag_questions!C69</f>
        <v/>
      </c>
      <c r="D74" s="15" t="str">
        <f>redflag_questions!D69</f>
        <v/>
      </c>
      <c r="E74" s="15" t="str">
        <f>redflag_questions!E69</f>
        <v/>
      </c>
      <c r="F74" s="15" t="str">
        <f>redflag_questions!F69</f>
        <v/>
      </c>
      <c r="G74" s="15" t="str">
        <f>redflag_questions!G69</f>
        <v/>
      </c>
      <c r="H74" s="15" t="str">
        <f>redflag_questions!H69</f>
        <v/>
      </c>
      <c r="I74" s="15" t="str">
        <f>redflag_questions!I69</f>
        <v/>
      </c>
      <c r="J74" s="15" t="str">
        <f>redflag_questions!J69</f>
        <v/>
      </c>
      <c r="K74" s="15" t="str">
        <f>redflag_questions!K69</f>
        <v/>
      </c>
      <c r="L74" s="15" t="str">
        <f>redflag_questions!L69</f>
        <v/>
      </c>
      <c r="M74" s="15" t="str">
        <f>redflag_questions!M69</f>
        <v/>
      </c>
    </row>
    <row r="75">
      <c r="A75" s="11" t="str">
        <f>redflag_questions!A70</f>
        <v/>
      </c>
      <c r="B75" s="18" t="str">
        <f>redflag_questions!B70</f>
        <v/>
      </c>
      <c r="C75" s="15" t="str">
        <f>redflag_questions!C70</f>
        <v/>
      </c>
      <c r="D75" s="15" t="str">
        <f>redflag_questions!D70</f>
        <v/>
      </c>
      <c r="E75" s="15" t="str">
        <f>redflag_questions!E70</f>
        <v/>
      </c>
      <c r="F75" s="15" t="str">
        <f>redflag_questions!F70</f>
        <v/>
      </c>
      <c r="G75" s="15" t="str">
        <f>redflag_questions!G70</f>
        <v/>
      </c>
      <c r="H75" s="15" t="str">
        <f>redflag_questions!H70</f>
        <v/>
      </c>
      <c r="I75" s="15" t="str">
        <f>redflag_questions!I70</f>
        <v/>
      </c>
      <c r="J75" s="15" t="str">
        <f>redflag_questions!J70</f>
        <v/>
      </c>
      <c r="K75" s="15" t="str">
        <f>redflag_questions!K70</f>
        <v/>
      </c>
      <c r="L75" s="15" t="str">
        <f>redflag_questions!L70</f>
        <v/>
      </c>
      <c r="M75" s="15" t="str">
        <f>redflag_questions!M70</f>
        <v/>
      </c>
    </row>
    <row r="76">
      <c r="A76" s="11" t="str">
        <f>redflag_questions!A71</f>
        <v/>
      </c>
      <c r="B76" s="18" t="str">
        <f>redflag_questions!B71</f>
        <v/>
      </c>
      <c r="C76" s="15" t="str">
        <f>redflag_questions!C71</f>
        <v/>
      </c>
      <c r="D76" s="15" t="str">
        <f>redflag_questions!D71</f>
        <v/>
      </c>
      <c r="E76" s="15" t="str">
        <f>redflag_questions!E71</f>
        <v/>
      </c>
      <c r="F76" s="15" t="str">
        <f>redflag_questions!F71</f>
        <v/>
      </c>
      <c r="G76" s="15" t="str">
        <f>redflag_questions!G71</f>
        <v/>
      </c>
      <c r="H76" s="15" t="str">
        <f>redflag_questions!H71</f>
        <v/>
      </c>
      <c r="I76" s="15" t="str">
        <f>redflag_questions!I71</f>
        <v/>
      </c>
      <c r="J76" s="15" t="str">
        <f>redflag_questions!J71</f>
        <v/>
      </c>
      <c r="K76" s="15" t="str">
        <f>redflag_questions!K71</f>
        <v/>
      </c>
      <c r="L76" s="15" t="str">
        <f>redflag_questions!L71</f>
        <v/>
      </c>
      <c r="M76" s="15" t="str">
        <f>redflag_questions!M71</f>
        <v/>
      </c>
    </row>
    <row r="77">
      <c r="A77" s="11" t="str">
        <f>redflag_questions!A72</f>
        <v/>
      </c>
      <c r="B77" s="18" t="str">
        <f>redflag_questions!B72</f>
        <v/>
      </c>
      <c r="C77" s="15" t="str">
        <f>redflag_questions!C72</f>
        <v/>
      </c>
      <c r="D77" s="15" t="str">
        <f>redflag_questions!D72</f>
        <v/>
      </c>
      <c r="E77" s="15" t="str">
        <f>redflag_questions!E72</f>
        <v/>
      </c>
      <c r="F77" s="15" t="str">
        <f>redflag_questions!F72</f>
        <v/>
      </c>
      <c r="G77" s="15" t="str">
        <f>redflag_questions!G72</f>
        <v/>
      </c>
      <c r="H77" s="15" t="str">
        <f>redflag_questions!H72</f>
        <v/>
      </c>
      <c r="I77" s="15" t="str">
        <f>redflag_questions!I72</f>
        <v/>
      </c>
      <c r="J77" s="15" t="str">
        <f>redflag_questions!J72</f>
        <v/>
      </c>
      <c r="K77" s="15" t="str">
        <f>redflag_questions!K72</f>
        <v/>
      </c>
      <c r="L77" s="15" t="str">
        <f>redflag_questions!L72</f>
        <v/>
      </c>
      <c r="M77" s="15" t="str">
        <f>redflag_questions!M72</f>
        <v/>
      </c>
    </row>
    <row r="78">
      <c r="A78" s="11" t="str">
        <f>redflag_questions!A73</f>
        <v/>
      </c>
      <c r="B78" s="18" t="str">
        <f>redflag_questions!B73</f>
        <v/>
      </c>
      <c r="C78" s="15" t="str">
        <f>redflag_questions!C73</f>
        <v/>
      </c>
      <c r="D78" s="15" t="str">
        <f>redflag_questions!D73</f>
        <v/>
      </c>
      <c r="E78" s="15" t="str">
        <f>redflag_questions!E73</f>
        <v/>
      </c>
      <c r="F78" s="15" t="str">
        <f>redflag_questions!F73</f>
        <v/>
      </c>
      <c r="G78" s="15" t="str">
        <f>redflag_questions!G73</f>
        <v/>
      </c>
      <c r="H78" s="15" t="str">
        <f>redflag_questions!H73</f>
        <v/>
      </c>
      <c r="I78" s="15" t="str">
        <f>redflag_questions!I73</f>
        <v/>
      </c>
      <c r="J78" s="15" t="str">
        <f>redflag_questions!J73</f>
        <v/>
      </c>
      <c r="K78" s="15" t="str">
        <f>redflag_questions!K73</f>
        <v/>
      </c>
      <c r="L78" s="15" t="str">
        <f>redflag_questions!L73</f>
        <v/>
      </c>
      <c r="M78" s="15" t="str">
        <f>redflag_questions!M73</f>
        <v/>
      </c>
    </row>
    <row r="79">
      <c r="A79" s="11" t="str">
        <f>redflag_questions!A74</f>
        <v/>
      </c>
      <c r="B79" s="18" t="str">
        <f>redflag_questions!B74</f>
        <v/>
      </c>
      <c r="C79" s="15" t="str">
        <f>redflag_questions!C74</f>
        <v/>
      </c>
      <c r="D79" s="15" t="str">
        <f>redflag_questions!D74</f>
        <v/>
      </c>
      <c r="E79" s="15" t="str">
        <f>redflag_questions!E74</f>
        <v/>
      </c>
      <c r="F79" s="15" t="str">
        <f>redflag_questions!F74</f>
        <v/>
      </c>
      <c r="G79" s="15" t="str">
        <f>redflag_questions!G74</f>
        <v/>
      </c>
      <c r="H79" s="15" t="str">
        <f>redflag_questions!H74</f>
        <v/>
      </c>
      <c r="I79" s="15" t="str">
        <f>redflag_questions!I74</f>
        <v/>
      </c>
      <c r="J79" s="15" t="str">
        <f>redflag_questions!J74</f>
        <v/>
      </c>
      <c r="K79" s="15" t="str">
        <f>redflag_questions!K74</f>
        <v/>
      </c>
      <c r="L79" s="15" t="str">
        <f>redflag_questions!L74</f>
        <v/>
      </c>
      <c r="M79" s="15" t="str">
        <f>redflag_questions!M74</f>
        <v/>
      </c>
    </row>
    <row r="80">
      <c r="A80" s="11" t="str">
        <f>redflag_questions!A75</f>
        <v/>
      </c>
      <c r="B80" s="18" t="str">
        <f>redflag_questions!B75</f>
        <v/>
      </c>
      <c r="C80" s="15" t="str">
        <f>redflag_questions!C75</f>
        <v/>
      </c>
      <c r="D80" s="15" t="str">
        <f>redflag_questions!D75</f>
        <v/>
      </c>
      <c r="E80" s="15" t="str">
        <f>redflag_questions!E75</f>
        <v/>
      </c>
      <c r="F80" s="15" t="str">
        <f>redflag_questions!F75</f>
        <v/>
      </c>
      <c r="G80" s="15" t="str">
        <f>redflag_questions!G75</f>
        <v/>
      </c>
      <c r="H80" s="15" t="str">
        <f>redflag_questions!H75</f>
        <v/>
      </c>
      <c r="I80" s="15" t="str">
        <f>redflag_questions!I75</f>
        <v/>
      </c>
      <c r="J80" s="15" t="str">
        <f>redflag_questions!J75</f>
        <v/>
      </c>
      <c r="K80" s="15" t="str">
        <f>redflag_questions!K75</f>
        <v/>
      </c>
      <c r="L80" s="15" t="str">
        <f>redflag_questions!L75</f>
        <v/>
      </c>
      <c r="M80" s="15" t="str">
        <f>redflag_questions!M75</f>
        <v/>
      </c>
    </row>
    <row r="81">
      <c r="A81" s="11" t="str">
        <f>redflag_questions!A76</f>
        <v/>
      </c>
      <c r="B81" s="18" t="str">
        <f>redflag_questions!B76</f>
        <v/>
      </c>
      <c r="C81" s="15" t="str">
        <f>redflag_questions!C76</f>
        <v/>
      </c>
      <c r="D81" s="15" t="str">
        <f>redflag_questions!D76</f>
        <v/>
      </c>
      <c r="E81" s="15" t="str">
        <f>redflag_questions!E76</f>
        <v/>
      </c>
      <c r="F81" s="15" t="str">
        <f>redflag_questions!F76</f>
        <v/>
      </c>
      <c r="G81" s="15" t="str">
        <f>redflag_questions!G76</f>
        <v/>
      </c>
      <c r="H81" s="15" t="str">
        <f>redflag_questions!H76</f>
        <v/>
      </c>
      <c r="I81" s="15" t="str">
        <f>redflag_questions!I76</f>
        <v/>
      </c>
      <c r="J81" s="15" t="str">
        <f>redflag_questions!J76</f>
        <v/>
      </c>
      <c r="K81" s="15" t="str">
        <f>redflag_questions!K76</f>
        <v/>
      </c>
      <c r="L81" s="15" t="str">
        <f>redflag_questions!L76</f>
        <v/>
      </c>
      <c r="M81" s="15" t="str">
        <f>redflag_questions!M76</f>
        <v/>
      </c>
    </row>
    <row r="82">
      <c r="A82" s="11" t="str">
        <f>redflag_questions!A77</f>
        <v/>
      </c>
      <c r="B82" s="18" t="str">
        <f>redflag_questions!B77</f>
        <v/>
      </c>
      <c r="C82" s="15" t="str">
        <f>redflag_questions!C77</f>
        <v/>
      </c>
      <c r="D82" s="15" t="str">
        <f>redflag_questions!D77</f>
        <v/>
      </c>
      <c r="E82" s="15" t="str">
        <f>redflag_questions!E77</f>
        <v/>
      </c>
      <c r="F82" s="15" t="str">
        <f>redflag_questions!F77</f>
        <v/>
      </c>
      <c r="G82" s="15" t="str">
        <f>redflag_questions!G77</f>
        <v/>
      </c>
      <c r="H82" s="15" t="str">
        <f>redflag_questions!H77</f>
        <v/>
      </c>
      <c r="I82" s="15" t="str">
        <f>redflag_questions!I77</f>
        <v/>
      </c>
      <c r="J82" s="15" t="str">
        <f>redflag_questions!J77</f>
        <v/>
      </c>
      <c r="K82" s="15" t="str">
        <f>redflag_questions!K77</f>
        <v/>
      </c>
      <c r="L82" s="15" t="str">
        <f>redflag_questions!L77</f>
        <v/>
      </c>
      <c r="M82" s="15" t="str">
        <f>redflag_questions!M77</f>
        <v/>
      </c>
    </row>
    <row r="83">
      <c r="A83" s="11" t="str">
        <f>redflag_questions!A78</f>
        <v/>
      </c>
      <c r="B83" s="18" t="str">
        <f>redflag_questions!B78</f>
        <v/>
      </c>
      <c r="C83" s="15" t="str">
        <f>redflag_questions!C78</f>
        <v/>
      </c>
      <c r="D83" s="15" t="str">
        <f>redflag_questions!D78</f>
        <v/>
      </c>
      <c r="E83" s="15" t="str">
        <f>redflag_questions!E78</f>
        <v/>
      </c>
      <c r="F83" s="15" t="str">
        <f>redflag_questions!F78</f>
        <v/>
      </c>
      <c r="G83" s="15" t="str">
        <f>redflag_questions!G78</f>
        <v/>
      </c>
      <c r="H83" s="15" t="str">
        <f>redflag_questions!H78</f>
        <v/>
      </c>
      <c r="I83" s="15" t="str">
        <f>redflag_questions!I78</f>
        <v/>
      </c>
      <c r="J83" s="15" t="str">
        <f>redflag_questions!J78</f>
        <v/>
      </c>
      <c r="K83" s="15" t="str">
        <f>redflag_questions!K78</f>
        <v/>
      </c>
      <c r="L83" s="15" t="str">
        <f>redflag_questions!L78</f>
        <v/>
      </c>
      <c r="M83" s="15" t="str">
        <f>redflag_questions!M78</f>
        <v/>
      </c>
    </row>
    <row r="84">
      <c r="A84" s="11" t="str">
        <f>redflag_questions!A79</f>
        <v/>
      </c>
      <c r="B84" s="18" t="str">
        <f>redflag_questions!B79</f>
        <v/>
      </c>
      <c r="C84" s="15" t="str">
        <f>redflag_questions!C79</f>
        <v/>
      </c>
      <c r="D84" s="15" t="str">
        <f>redflag_questions!D79</f>
        <v/>
      </c>
      <c r="E84" s="15" t="str">
        <f>redflag_questions!E79</f>
        <v/>
      </c>
      <c r="F84" s="15" t="str">
        <f>redflag_questions!F79</f>
        <v/>
      </c>
      <c r="G84" s="15" t="str">
        <f>redflag_questions!G79</f>
        <v/>
      </c>
      <c r="H84" s="15" t="str">
        <f>redflag_questions!H79</f>
        <v/>
      </c>
      <c r="I84" s="15" t="str">
        <f>redflag_questions!I79</f>
        <v/>
      </c>
      <c r="J84" s="15" t="str">
        <f>redflag_questions!J79</f>
        <v/>
      </c>
      <c r="K84" s="15" t="str">
        <f>redflag_questions!K79</f>
        <v/>
      </c>
      <c r="L84" s="15" t="str">
        <f>redflag_questions!L79</f>
        <v/>
      </c>
      <c r="M84" s="15" t="str">
        <f>redflag_questions!M79</f>
        <v/>
      </c>
    </row>
    <row r="85">
      <c r="A85" s="11" t="str">
        <f>redflag_questions!A80</f>
        <v/>
      </c>
      <c r="B85" s="18" t="str">
        <f>redflag_questions!B80</f>
        <v/>
      </c>
      <c r="C85" s="15" t="str">
        <f>redflag_questions!C80</f>
        <v/>
      </c>
      <c r="D85" s="15" t="str">
        <f>redflag_questions!D80</f>
        <v/>
      </c>
      <c r="E85" s="15" t="str">
        <f>redflag_questions!E80</f>
        <v/>
      </c>
      <c r="F85" s="15" t="str">
        <f>redflag_questions!F80</f>
        <v/>
      </c>
      <c r="G85" s="15" t="str">
        <f>redflag_questions!G80</f>
        <v/>
      </c>
      <c r="H85" s="15" t="str">
        <f>redflag_questions!H80</f>
        <v/>
      </c>
      <c r="I85" s="15" t="str">
        <f>redflag_questions!I80</f>
        <v/>
      </c>
      <c r="J85" s="15" t="str">
        <f>redflag_questions!J80</f>
        <v/>
      </c>
      <c r="K85" s="15" t="str">
        <f>redflag_questions!K80</f>
        <v/>
      </c>
      <c r="L85" s="15" t="str">
        <f>redflag_questions!L80</f>
        <v/>
      </c>
      <c r="M85" s="15" t="str">
        <f>redflag_questions!M80</f>
        <v/>
      </c>
    </row>
    <row r="86">
      <c r="A86" s="11" t="str">
        <f>redflag_questions!A81</f>
        <v/>
      </c>
      <c r="B86" s="18" t="str">
        <f>redflag_questions!B81</f>
        <v/>
      </c>
      <c r="C86" s="15" t="str">
        <f>redflag_questions!C81</f>
        <v/>
      </c>
      <c r="D86" s="15" t="str">
        <f>redflag_questions!D81</f>
        <v/>
      </c>
      <c r="E86" s="15" t="str">
        <f>redflag_questions!E81</f>
        <v/>
      </c>
      <c r="F86" s="15" t="str">
        <f>redflag_questions!F81</f>
        <v/>
      </c>
      <c r="G86" s="15" t="str">
        <f>redflag_questions!G81</f>
        <v/>
      </c>
      <c r="H86" s="15" t="str">
        <f>redflag_questions!H81</f>
        <v/>
      </c>
      <c r="I86" s="15" t="str">
        <f>redflag_questions!I81</f>
        <v/>
      </c>
      <c r="J86" s="15" t="str">
        <f>redflag_questions!J81</f>
        <v/>
      </c>
      <c r="K86" s="15" t="str">
        <f>redflag_questions!K81</f>
        <v/>
      </c>
      <c r="L86" s="15" t="str">
        <f>redflag_questions!L81</f>
        <v/>
      </c>
      <c r="M86" s="15" t="str">
        <f>redflag_questions!M81</f>
        <v/>
      </c>
    </row>
    <row r="87">
      <c r="A87" s="11" t="str">
        <f>redflag_questions!A82</f>
        <v/>
      </c>
      <c r="B87" s="18" t="str">
        <f>redflag_questions!B82</f>
        <v/>
      </c>
      <c r="C87" s="15" t="str">
        <f>redflag_questions!C82</f>
        <v/>
      </c>
      <c r="D87" s="15" t="str">
        <f>redflag_questions!D82</f>
        <v/>
      </c>
      <c r="E87" s="15" t="str">
        <f>redflag_questions!E82</f>
        <v/>
      </c>
      <c r="F87" s="15" t="str">
        <f>redflag_questions!F82</f>
        <v/>
      </c>
      <c r="G87" s="15" t="str">
        <f>redflag_questions!G82</f>
        <v/>
      </c>
      <c r="H87" s="15" t="str">
        <f>redflag_questions!H82</f>
        <v/>
      </c>
      <c r="I87" s="15" t="str">
        <f>redflag_questions!I82</f>
        <v/>
      </c>
      <c r="J87" s="15" t="str">
        <f>redflag_questions!J82</f>
        <v/>
      </c>
      <c r="K87" s="15" t="str">
        <f>redflag_questions!K82</f>
        <v/>
      </c>
      <c r="L87" s="15" t="str">
        <f>redflag_questions!L82</f>
        <v/>
      </c>
      <c r="M87" s="15" t="str">
        <f>redflag_questions!M82</f>
        <v/>
      </c>
    </row>
    <row r="88">
      <c r="A88" s="11" t="str">
        <f>redflag_questions!A83</f>
        <v/>
      </c>
      <c r="B88" s="18" t="str">
        <f>redflag_questions!B83</f>
        <v/>
      </c>
      <c r="C88" s="15" t="str">
        <f>redflag_questions!C83</f>
        <v/>
      </c>
      <c r="D88" s="15" t="str">
        <f>redflag_questions!D83</f>
        <v/>
      </c>
      <c r="E88" s="15" t="str">
        <f>redflag_questions!E83</f>
        <v/>
      </c>
      <c r="F88" s="15" t="str">
        <f>redflag_questions!F83</f>
        <v/>
      </c>
      <c r="G88" s="15" t="str">
        <f>redflag_questions!G83</f>
        <v/>
      </c>
      <c r="H88" s="15" t="str">
        <f>redflag_questions!H83</f>
        <v/>
      </c>
      <c r="I88" s="15" t="str">
        <f>redflag_questions!I83</f>
        <v/>
      </c>
      <c r="J88" s="15" t="str">
        <f>redflag_questions!J83</f>
        <v/>
      </c>
      <c r="K88" s="15" t="str">
        <f>redflag_questions!K83</f>
        <v/>
      </c>
      <c r="L88" s="15" t="str">
        <f>redflag_questions!L83</f>
        <v/>
      </c>
      <c r="M88" s="15" t="str">
        <f>redflag_questions!M83</f>
        <v/>
      </c>
    </row>
    <row r="89">
      <c r="A89" s="11" t="str">
        <f>redflag_questions!A84</f>
        <v/>
      </c>
      <c r="B89" s="18" t="str">
        <f>redflag_questions!B84</f>
        <v/>
      </c>
      <c r="C89" s="15" t="str">
        <f>redflag_questions!C84</f>
        <v/>
      </c>
      <c r="D89" s="15" t="str">
        <f>redflag_questions!D84</f>
        <v/>
      </c>
      <c r="E89" s="15" t="str">
        <f>redflag_questions!E84</f>
        <v/>
      </c>
      <c r="F89" s="15" t="str">
        <f>redflag_questions!F84</f>
        <v/>
      </c>
      <c r="G89" s="15" t="str">
        <f>redflag_questions!G84</f>
        <v/>
      </c>
      <c r="H89" s="15" t="str">
        <f>redflag_questions!H84</f>
        <v/>
      </c>
      <c r="I89" s="15" t="str">
        <f>redflag_questions!I84</f>
        <v/>
      </c>
      <c r="J89" s="15" t="str">
        <f>redflag_questions!J84</f>
        <v/>
      </c>
      <c r="K89" s="15" t="str">
        <f>redflag_questions!K84</f>
        <v/>
      </c>
      <c r="L89" s="15" t="str">
        <f>redflag_questions!L84</f>
        <v/>
      </c>
      <c r="M89" s="15" t="str">
        <f>redflag_questions!M84</f>
        <v/>
      </c>
    </row>
    <row r="90">
      <c r="A90" s="11" t="str">
        <f>redflag_questions!A85</f>
        <v/>
      </c>
      <c r="B90" s="18" t="str">
        <f>redflag_questions!B85</f>
        <v/>
      </c>
      <c r="C90" s="15" t="str">
        <f>redflag_questions!C85</f>
        <v/>
      </c>
      <c r="D90" s="15" t="str">
        <f>redflag_questions!D85</f>
        <v/>
      </c>
      <c r="E90" s="15" t="str">
        <f>redflag_questions!E85</f>
        <v/>
      </c>
      <c r="F90" s="15" t="str">
        <f>redflag_questions!F85</f>
        <v/>
      </c>
      <c r="G90" s="15" t="str">
        <f>redflag_questions!G85</f>
        <v/>
      </c>
      <c r="H90" s="15" t="str">
        <f>redflag_questions!H85</f>
        <v/>
      </c>
      <c r="I90" s="15" t="str">
        <f>redflag_questions!I85</f>
        <v/>
      </c>
      <c r="J90" s="15" t="str">
        <f>redflag_questions!J85</f>
        <v/>
      </c>
      <c r="K90" s="15" t="str">
        <f>redflag_questions!K85</f>
        <v/>
      </c>
      <c r="L90" s="15" t="str">
        <f>redflag_questions!L85</f>
        <v/>
      </c>
      <c r="M90" s="15" t="str">
        <f>redflag_questions!M85</f>
        <v/>
      </c>
    </row>
    <row r="91">
      <c r="A91" s="11" t="str">
        <f>redflag_questions!A86</f>
        <v/>
      </c>
      <c r="B91" s="18" t="str">
        <f>redflag_questions!B86</f>
        <v/>
      </c>
      <c r="C91" s="15" t="str">
        <f>redflag_questions!C86</f>
        <v/>
      </c>
      <c r="D91" s="15" t="str">
        <f>redflag_questions!D86</f>
        <v/>
      </c>
      <c r="E91" s="15" t="str">
        <f>redflag_questions!E86</f>
        <v/>
      </c>
      <c r="F91" s="15" t="str">
        <f>redflag_questions!F86</f>
        <v/>
      </c>
      <c r="G91" s="15" t="str">
        <f>redflag_questions!G86</f>
        <v/>
      </c>
      <c r="H91" s="15" t="str">
        <f>redflag_questions!H86</f>
        <v/>
      </c>
      <c r="I91" s="15" t="str">
        <f>redflag_questions!I86</f>
        <v/>
      </c>
      <c r="J91" s="15" t="str">
        <f>redflag_questions!J86</f>
        <v/>
      </c>
      <c r="K91" s="15" t="str">
        <f>redflag_questions!K86</f>
        <v/>
      </c>
      <c r="L91" s="15" t="str">
        <f>redflag_questions!L86</f>
        <v/>
      </c>
      <c r="M91" s="15" t="str">
        <f>redflag_questions!M86</f>
        <v/>
      </c>
    </row>
    <row r="92">
      <c r="A92" s="11" t="str">
        <f>redflag_questions!A87</f>
        <v/>
      </c>
      <c r="B92" s="18" t="str">
        <f>redflag_questions!B87</f>
        <v/>
      </c>
      <c r="C92" s="15" t="str">
        <f>redflag_questions!C87</f>
        <v/>
      </c>
      <c r="D92" s="15" t="str">
        <f>redflag_questions!D87</f>
        <v/>
      </c>
      <c r="E92" s="15" t="str">
        <f>redflag_questions!E87</f>
        <v/>
      </c>
      <c r="F92" s="15" t="str">
        <f>redflag_questions!F87</f>
        <v/>
      </c>
      <c r="G92" s="15" t="str">
        <f>redflag_questions!G87</f>
        <v/>
      </c>
      <c r="H92" s="15" t="str">
        <f>redflag_questions!H87</f>
        <v/>
      </c>
      <c r="I92" s="15" t="str">
        <f>redflag_questions!I87</f>
        <v/>
      </c>
      <c r="J92" s="15" t="str">
        <f>redflag_questions!J87</f>
        <v/>
      </c>
      <c r="K92" s="15" t="str">
        <f>redflag_questions!K87</f>
        <v/>
      </c>
      <c r="L92" s="15" t="str">
        <f>redflag_questions!L87</f>
        <v/>
      </c>
      <c r="M92" s="15" t="str">
        <f>redflag_questions!M87</f>
        <v/>
      </c>
    </row>
    <row r="93">
      <c r="A93" s="11" t="str">
        <f>redflag_questions!A88</f>
        <v/>
      </c>
      <c r="B93" s="18" t="str">
        <f>redflag_questions!B88</f>
        <v/>
      </c>
      <c r="C93" s="15" t="str">
        <f>redflag_questions!C88</f>
        <v/>
      </c>
      <c r="D93" s="15" t="str">
        <f>redflag_questions!D88</f>
        <v/>
      </c>
      <c r="E93" s="15" t="str">
        <f>redflag_questions!E88</f>
        <v/>
      </c>
      <c r="F93" s="15" t="str">
        <f>redflag_questions!F88</f>
        <v/>
      </c>
      <c r="G93" s="15" t="str">
        <f>redflag_questions!G88</f>
        <v/>
      </c>
      <c r="H93" s="15" t="str">
        <f>redflag_questions!H88</f>
        <v/>
      </c>
      <c r="I93" s="15" t="str">
        <f>redflag_questions!I88</f>
        <v/>
      </c>
      <c r="J93" s="15" t="str">
        <f>redflag_questions!J88</f>
        <v/>
      </c>
      <c r="K93" s="15" t="str">
        <f>redflag_questions!K88</f>
        <v/>
      </c>
      <c r="L93" s="15" t="str">
        <f>redflag_questions!L88</f>
        <v/>
      </c>
      <c r="M93" s="15" t="str">
        <f>redflag_questions!M88</f>
        <v/>
      </c>
    </row>
    <row r="94">
      <c r="A94" s="11" t="str">
        <f>redflag_questions!A89</f>
        <v/>
      </c>
      <c r="B94" s="18" t="str">
        <f>redflag_questions!B89</f>
        <v/>
      </c>
      <c r="C94" s="15" t="str">
        <f>redflag_questions!C89</f>
        <v/>
      </c>
      <c r="D94" s="15" t="str">
        <f>redflag_questions!D89</f>
        <v/>
      </c>
      <c r="E94" s="15" t="str">
        <f>redflag_questions!E89</f>
        <v/>
      </c>
      <c r="F94" s="15" t="str">
        <f>redflag_questions!F89</f>
        <v/>
      </c>
      <c r="G94" s="15" t="str">
        <f>redflag_questions!G89</f>
        <v/>
      </c>
      <c r="H94" s="15" t="str">
        <f>redflag_questions!H89</f>
        <v/>
      </c>
      <c r="I94" s="15" t="str">
        <f>redflag_questions!I89</f>
        <v/>
      </c>
      <c r="J94" s="15" t="str">
        <f>redflag_questions!J89</f>
        <v/>
      </c>
      <c r="K94" s="15" t="str">
        <f>redflag_questions!K89</f>
        <v/>
      </c>
      <c r="L94" s="15" t="str">
        <f>redflag_questions!L89</f>
        <v/>
      </c>
      <c r="M94" s="15" t="str">
        <f>redflag_questions!M89</f>
        <v/>
      </c>
    </row>
    <row r="95">
      <c r="A95" s="11" t="str">
        <f>redflag_questions!A90</f>
        <v/>
      </c>
      <c r="B95" s="18" t="str">
        <f>redflag_questions!B90</f>
        <v/>
      </c>
      <c r="C95" s="15" t="str">
        <f>redflag_questions!C90</f>
        <v/>
      </c>
      <c r="D95" s="15" t="str">
        <f>redflag_questions!D90</f>
        <v/>
      </c>
      <c r="E95" s="15" t="str">
        <f>redflag_questions!E90</f>
        <v/>
      </c>
      <c r="F95" s="15" t="str">
        <f>redflag_questions!F90</f>
        <v/>
      </c>
      <c r="G95" s="15" t="str">
        <f>redflag_questions!G90</f>
        <v/>
      </c>
      <c r="H95" s="15" t="str">
        <f>redflag_questions!H90</f>
        <v/>
      </c>
      <c r="I95" s="15" t="str">
        <f>redflag_questions!I90</f>
        <v/>
      </c>
      <c r="J95" s="15" t="str">
        <f>redflag_questions!J90</f>
        <v/>
      </c>
      <c r="K95" s="15" t="str">
        <f>redflag_questions!K90</f>
        <v/>
      </c>
      <c r="L95" s="15" t="str">
        <f>redflag_questions!L90</f>
        <v/>
      </c>
      <c r="M95" s="15" t="str">
        <f>redflag_questions!M90</f>
        <v/>
      </c>
    </row>
    <row r="96">
      <c r="A96" s="11" t="str">
        <f>redflag_questions!A91</f>
        <v/>
      </c>
      <c r="B96" s="18" t="str">
        <f>redflag_questions!B91</f>
        <v/>
      </c>
      <c r="C96" s="15" t="str">
        <f>redflag_questions!C91</f>
        <v/>
      </c>
      <c r="D96" s="15" t="str">
        <f>redflag_questions!D91</f>
        <v/>
      </c>
      <c r="E96" s="15" t="str">
        <f>redflag_questions!E91</f>
        <v/>
      </c>
      <c r="F96" s="15" t="str">
        <f>redflag_questions!F91</f>
        <v/>
      </c>
      <c r="G96" s="15" t="str">
        <f>redflag_questions!G91</f>
        <v/>
      </c>
      <c r="H96" s="15" t="str">
        <f>redflag_questions!H91</f>
        <v/>
      </c>
      <c r="I96" s="15" t="str">
        <f>redflag_questions!I91</f>
        <v/>
      </c>
      <c r="J96" s="15" t="str">
        <f>redflag_questions!J91</f>
        <v/>
      </c>
      <c r="K96" s="15" t="str">
        <f>redflag_questions!K91</f>
        <v/>
      </c>
      <c r="L96" s="15" t="str">
        <f>redflag_questions!L91</f>
        <v/>
      </c>
      <c r="M96" s="15" t="str">
        <f>redflag_questions!M91</f>
        <v/>
      </c>
    </row>
    <row r="97">
      <c r="A97" s="11" t="str">
        <f>redflag_questions!A92</f>
        <v/>
      </c>
      <c r="B97" s="18" t="str">
        <f>redflag_questions!B92</f>
        <v/>
      </c>
      <c r="C97" s="15" t="str">
        <f>redflag_questions!C92</f>
        <v/>
      </c>
      <c r="D97" s="15" t="str">
        <f>redflag_questions!D92</f>
        <v/>
      </c>
      <c r="E97" s="15" t="str">
        <f>redflag_questions!E92</f>
        <v/>
      </c>
      <c r="F97" s="15" t="str">
        <f>redflag_questions!F92</f>
        <v/>
      </c>
      <c r="G97" s="15" t="str">
        <f>redflag_questions!G92</f>
        <v/>
      </c>
      <c r="H97" s="15" t="str">
        <f>redflag_questions!H92</f>
        <v/>
      </c>
      <c r="I97" s="15" t="str">
        <f>redflag_questions!I92</f>
        <v/>
      </c>
      <c r="J97" s="15" t="str">
        <f>redflag_questions!J92</f>
        <v/>
      </c>
      <c r="K97" s="15" t="str">
        <f>redflag_questions!K92</f>
        <v/>
      </c>
      <c r="L97" s="15" t="str">
        <f>redflag_questions!L92</f>
        <v/>
      </c>
      <c r="M97" s="15" t="str">
        <f>redflag_questions!M92</f>
        <v/>
      </c>
    </row>
    <row r="98">
      <c r="A98" s="11" t="str">
        <f>redflag_questions!A93</f>
        <v/>
      </c>
      <c r="B98" s="18" t="str">
        <f>redflag_questions!B93</f>
        <v/>
      </c>
      <c r="C98" s="15" t="str">
        <f>redflag_questions!C93</f>
        <v/>
      </c>
      <c r="D98" s="15" t="str">
        <f>redflag_questions!D93</f>
        <v/>
      </c>
      <c r="E98" s="15" t="str">
        <f>redflag_questions!E93</f>
        <v/>
      </c>
      <c r="F98" s="15" t="str">
        <f>redflag_questions!F93</f>
        <v/>
      </c>
      <c r="G98" s="15" t="str">
        <f>redflag_questions!G93</f>
        <v/>
      </c>
      <c r="H98" s="15" t="str">
        <f>redflag_questions!H93</f>
        <v/>
      </c>
      <c r="I98" s="15" t="str">
        <f>redflag_questions!I93</f>
        <v/>
      </c>
      <c r="J98" s="15" t="str">
        <f>redflag_questions!J93</f>
        <v/>
      </c>
      <c r="K98" s="15" t="str">
        <f>redflag_questions!K93</f>
        <v/>
      </c>
      <c r="L98" s="15" t="str">
        <f>redflag_questions!L93</f>
        <v/>
      </c>
      <c r="M98" s="15" t="str">
        <f>redflag_questions!M93</f>
        <v/>
      </c>
    </row>
    <row r="99">
      <c r="A99" s="11" t="str">
        <f>redflag_questions!A94</f>
        <v/>
      </c>
      <c r="B99" s="18" t="str">
        <f>redflag_questions!B94</f>
        <v/>
      </c>
      <c r="C99" s="15" t="str">
        <f>redflag_questions!C94</f>
        <v/>
      </c>
      <c r="D99" s="15" t="str">
        <f>redflag_questions!D94</f>
        <v/>
      </c>
      <c r="E99" s="15" t="str">
        <f>redflag_questions!E94</f>
        <v/>
      </c>
      <c r="F99" s="15" t="str">
        <f>redflag_questions!F94</f>
        <v/>
      </c>
      <c r="G99" s="15" t="str">
        <f>redflag_questions!G94</f>
        <v/>
      </c>
      <c r="H99" s="15" t="str">
        <f>redflag_questions!H94</f>
        <v/>
      </c>
      <c r="I99" s="15" t="str">
        <f>redflag_questions!I94</f>
        <v/>
      </c>
      <c r="J99" s="15" t="str">
        <f>redflag_questions!J94</f>
        <v/>
      </c>
      <c r="K99" s="15" t="str">
        <f>redflag_questions!K94</f>
        <v/>
      </c>
      <c r="L99" s="15" t="str">
        <f>redflag_questions!L94</f>
        <v/>
      </c>
      <c r="M99" s="15" t="str">
        <f>redflag_questions!M94</f>
        <v/>
      </c>
    </row>
    <row r="100">
      <c r="A100" s="11" t="str">
        <f>redflag_questions!A95</f>
        <v/>
      </c>
      <c r="B100" s="18" t="str">
        <f>redflag_questions!B95</f>
        <v/>
      </c>
      <c r="C100" s="15" t="str">
        <f>redflag_questions!C95</f>
        <v/>
      </c>
      <c r="D100" s="15" t="str">
        <f>redflag_questions!D95</f>
        <v/>
      </c>
      <c r="E100" s="15" t="str">
        <f>redflag_questions!E95</f>
        <v/>
      </c>
      <c r="F100" s="15" t="str">
        <f>redflag_questions!F95</f>
        <v/>
      </c>
      <c r="G100" s="15" t="str">
        <f>redflag_questions!G95</f>
        <v/>
      </c>
      <c r="H100" s="15" t="str">
        <f>redflag_questions!H95</f>
        <v/>
      </c>
      <c r="I100" s="15" t="str">
        <f>redflag_questions!I95</f>
        <v/>
      </c>
      <c r="J100" s="15" t="str">
        <f>redflag_questions!J95</f>
        <v/>
      </c>
      <c r="K100" s="15" t="str">
        <f>redflag_questions!K95</f>
        <v/>
      </c>
      <c r="L100" s="15" t="str">
        <f>redflag_questions!L95</f>
        <v/>
      </c>
      <c r="M100" s="15" t="str">
        <f>redflag_questions!M95</f>
        <v/>
      </c>
    </row>
    <row r="101">
      <c r="A101" s="11" t="str">
        <f>redflag_questions!A96</f>
        <v/>
      </c>
      <c r="B101" s="18" t="str">
        <f>redflag_questions!B96</f>
        <v/>
      </c>
      <c r="C101" s="15" t="str">
        <f>redflag_questions!C96</f>
        <v/>
      </c>
      <c r="D101" s="15" t="str">
        <f>redflag_questions!D96</f>
        <v/>
      </c>
      <c r="E101" s="15" t="str">
        <f>redflag_questions!E96</f>
        <v/>
      </c>
      <c r="F101" s="15" t="str">
        <f>redflag_questions!F96</f>
        <v/>
      </c>
      <c r="G101" s="15" t="str">
        <f>redflag_questions!G96</f>
        <v/>
      </c>
      <c r="H101" s="15" t="str">
        <f>redflag_questions!H96</f>
        <v/>
      </c>
      <c r="I101" s="15" t="str">
        <f>redflag_questions!I96</f>
        <v/>
      </c>
      <c r="J101" s="15" t="str">
        <f>redflag_questions!J96</f>
        <v/>
      </c>
      <c r="K101" s="15" t="str">
        <f>redflag_questions!K96</f>
        <v/>
      </c>
      <c r="L101" s="15" t="str">
        <f>redflag_questions!L96</f>
        <v/>
      </c>
      <c r="M101" s="15" t="str">
        <f>redflag_questions!M96</f>
        <v/>
      </c>
    </row>
    <row r="102">
      <c r="A102" s="11" t="str">
        <f>redflag_questions!A97</f>
        <v/>
      </c>
      <c r="B102" s="18" t="str">
        <f>redflag_questions!B97</f>
        <v/>
      </c>
      <c r="C102" s="15" t="str">
        <f>redflag_questions!C97</f>
        <v/>
      </c>
      <c r="D102" s="15" t="str">
        <f>redflag_questions!D97</f>
        <v/>
      </c>
      <c r="E102" s="15" t="str">
        <f>redflag_questions!E97</f>
        <v/>
      </c>
      <c r="F102" s="15" t="str">
        <f>redflag_questions!F97</f>
        <v/>
      </c>
      <c r="G102" s="15" t="str">
        <f>redflag_questions!G97</f>
        <v/>
      </c>
      <c r="H102" s="15" t="str">
        <f>redflag_questions!H97</f>
        <v/>
      </c>
      <c r="I102" s="15" t="str">
        <f>redflag_questions!I97</f>
        <v/>
      </c>
      <c r="J102" s="15" t="str">
        <f>redflag_questions!J97</f>
        <v/>
      </c>
      <c r="K102" s="15" t="str">
        <f>redflag_questions!K97</f>
        <v/>
      </c>
      <c r="L102" s="15" t="str">
        <f>redflag_questions!L97</f>
        <v/>
      </c>
      <c r="M102" s="15" t="str">
        <f>redflag_questions!M97</f>
        <v/>
      </c>
    </row>
    <row r="103">
      <c r="A103" s="11" t="str">
        <f>redflag_questions!A98</f>
        <v/>
      </c>
      <c r="B103" s="18" t="str">
        <f>redflag_questions!B98</f>
        <v/>
      </c>
      <c r="C103" s="15" t="str">
        <f>redflag_questions!C98</f>
        <v/>
      </c>
      <c r="D103" s="15" t="str">
        <f>redflag_questions!D98</f>
        <v/>
      </c>
      <c r="E103" s="15" t="str">
        <f>redflag_questions!E98</f>
        <v/>
      </c>
      <c r="F103" s="15" t="str">
        <f>redflag_questions!F98</f>
        <v/>
      </c>
      <c r="G103" s="15" t="str">
        <f>redflag_questions!G98</f>
        <v/>
      </c>
      <c r="H103" s="15" t="str">
        <f>redflag_questions!H98</f>
        <v/>
      </c>
      <c r="I103" s="15" t="str">
        <f>redflag_questions!I98</f>
        <v/>
      </c>
      <c r="J103" s="15" t="str">
        <f>redflag_questions!J98</f>
        <v/>
      </c>
      <c r="K103" s="15" t="str">
        <f>redflag_questions!K98</f>
        <v/>
      </c>
      <c r="L103" s="15" t="str">
        <f>redflag_questions!L98</f>
        <v/>
      </c>
      <c r="M103" s="15" t="str">
        <f>redflag_questions!M98</f>
        <v/>
      </c>
    </row>
    <row r="104">
      <c r="A104" s="11" t="str">
        <f>redflag_questions!A99</f>
        <v/>
      </c>
      <c r="B104" s="18" t="str">
        <f>redflag_questions!B99</f>
        <v/>
      </c>
      <c r="C104" s="15" t="str">
        <f>redflag_questions!C99</f>
        <v/>
      </c>
      <c r="D104" s="15" t="str">
        <f>redflag_questions!D99</f>
        <v/>
      </c>
      <c r="E104" s="15" t="str">
        <f>redflag_questions!E99</f>
        <v/>
      </c>
      <c r="F104" s="15" t="str">
        <f>redflag_questions!F99</f>
        <v/>
      </c>
      <c r="G104" s="15" t="str">
        <f>redflag_questions!G99</f>
        <v/>
      </c>
      <c r="H104" s="15" t="str">
        <f>redflag_questions!H99</f>
        <v/>
      </c>
      <c r="I104" s="15" t="str">
        <f>redflag_questions!I99</f>
        <v/>
      </c>
      <c r="J104" s="15" t="str">
        <f>redflag_questions!J99</f>
        <v/>
      </c>
      <c r="K104" s="15" t="str">
        <f>redflag_questions!K99</f>
        <v/>
      </c>
      <c r="L104" s="15" t="str">
        <f>redflag_questions!L99</f>
        <v/>
      </c>
      <c r="M104" s="15" t="str">
        <f>redflag_questions!M99</f>
        <v/>
      </c>
    </row>
    <row r="105">
      <c r="A105" s="11" t="str">
        <f>redflag_questions!A100</f>
        <v/>
      </c>
      <c r="B105" s="18" t="str">
        <f>redflag_questions!B100</f>
        <v/>
      </c>
      <c r="C105" s="15" t="str">
        <f>redflag_questions!C100</f>
        <v/>
      </c>
      <c r="D105" s="15" t="str">
        <f>redflag_questions!D100</f>
        <v/>
      </c>
      <c r="E105" s="15" t="str">
        <f>redflag_questions!E100</f>
        <v/>
      </c>
      <c r="F105" s="15" t="str">
        <f>redflag_questions!F100</f>
        <v/>
      </c>
      <c r="G105" s="15" t="str">
        <f>redflag_questions!G100</f>
        <v/>
      </c>
      <c r="H105" s="15" t="str">
        <f>redflag_questions!H100</f>
        <v/>
      </c>
      <c r="I105" s="15" t="str">
        <f>redflag_questions!I100</f>
        <v/>
      </c>
      <c r="J105" s="15" t="str">
        <f>redflag_questions!J100</f>
        <v/>
      </c>
      <c r="K105" s="15" t="str">
        <f>redflag_questions!K100</f>
        <v/>
      </c>
      <c r="L105" s="15" t="str">
        <f>redflag_questions!L100</f>
        <v/>
      </c>
      <c r="M105" s="15" t="str">
        <f>redflag_questions!M100</f>
        <v/>
      </c>
    </row>
    <row r="106">
      <c r="A106" s="16" t="str">
        <f>redflag_questions!A1</f>
        <v>Questions</v>
      </c>
      <c r="B106" s="16" t="str">
        <f>redflag_questions!B1</f>
        <v>Weights</v>
      </c>
      <c r="C106" s="16" t="str">
        <f>redflag_questions!C1</f>
        <v>Lucas</v>
      </c>
      <c r="D106" s="16" t="str">
        <f>redflag_questions!D1</f>
        <v>Nicolaus</v>
      </c>
      <c r="E106" s="16" t="str">
        <f>redflag_questions!E1</f>
        <v>Alex</v>
      </c>
      <c r="F106" s="16" t="str">
        <f>redflag_questions!F1</f>
        <v>Alex</v>
      </c>
      <c r="G106" s="16" t="str">
        <f>redflag_questions!G1</f>
        <v>Stefan</v>
      </c>
      <c r="H106" s="16" t="str">
        <f>redflag_questions!H1</f>
        <v>Daniel</v>
      </c>
      <c r="I106" s="16" t="str">
        <f>redflag_questions!I1</f>
        <v>Johannes</v>
      </c>
      <c r="J106" s="16" t="str">
        <f>redflag_questions!J1</f>
        <v>Mathias</v>
      </c>
      <c r="K106" s="16" t="str">
        <f>redflag_questions!K1</f>
        <v>Roman</v>
      </c>
      <c r="L106" s="16" t="str">
        <f>redflag_questions!L1</f>
        <v>Ringo</v>
      </c>
      <c r="M106" s="16" t="str">
        <f>redflag_questions!M1</f>
        <v>Mathias</v>
      </c>
      <c r="N106" s="16" t="str">
        <f>redflag_questions!N1</f>
        <v>Rick</v>
      </c>
      <c r="O106" s="16" t="str">
        <f>redflag_questions!O1</f>
        <v>Benny</v>
      </c>
      <c r="P106" s="16" t="str">
        <f>redflag_questions!P1</f>
        <v>Flavio</v>
      </c>
      <c r="Q106" s="16" t="str">
        <f>redflag_questions!Q1</f>
        <v>Andreas</v>
      </c>
      <c r="R106" s="16" t="str">
        <f>redflag_questions!R1</f>
        <v>Markus</v>
      </c>
      <c r="S106" s="16" t="str">
        <f>redflag_questions!S1</f>
        <v>Stefan</v>
      </c>
      <c r="T106" s="16" t="str">
        <f>redflag_questions!T1</f>
        <v>Tobias</v>
      </c>
      <c r="U106" s="16" t="str">
        <f>redflag_questions!U1</f>
        <v>Tilo</v>
      </c>
      <c r="V106" s="16" t="str">
        <f>redflag_questions!V1</f>
        <v>Chris</v>
      </c>
      <c r="W106" s="16" t="str">
        <f>redflag_questions!W1</f>
        <v>Robin</v>
      </c>
      <c r="X106" s="16" t="str">
        <f>redflag_questions!X1</f>
        <v>Chris</v>
      </c>
      <c r="Y106" s="16" t="str">
        <f>redflag_questions!Y1</f>
        <v>Basti</v>
      </c>
      <c r="Z106" s="16" t="str">
        <f>redflag_questions!Z1</f>
        <v>Maik</v>
      </c>
      <c r="AA106" s="19" t="s">
        <v>90</v>
      </c>
      <c r="AB106" s="19" t="s">
        <v>91</v>
      </c>
    </row>
    <row r="107">
      <c r="A107" s="11" t="str">
        <f>redflag_questions!A2</f>
        <v>Sie ist zum größten Teil in ihrem Leben ohne biologischen Vater aufgewachsen.</v>
      </c>
      <c r="B107" s="15">
        <f t="shared" ref="B107:B171" si="3">AVERAGE(C107:Z107)*10</f>
        <v>5.114163674</v>
      </c>
      <c r="C107" s="15">
        <f t="shared" ref="C107:Z107" si="2">(C7-$AB107)/($AA107-$AB107)</f>
        <v>0.6141161897</v>
      </c>
      <c r="D107" s="15">
        <f t="shared" si="2"/>
        <v>0.3113184184</v>
      </c>
      <c r="E107" s="15">
        <f t="shared" si="2"/>
        <v>0.4641291392</v>
      </c>
      <c r="F107" s="15">
        <f t="shared" si="2"/>
        <v>0.4347575732</v>
      </c>
      <c r="G107" s="15">
        <f t="shared" si="2"/>
        <v>0.5659912015</v>
      </c>
      <c r="H107" s="15">
        <f t="shared" si="2"/>
        <v>0.3642727159</v>
      </c>
      <c r="I107" s="15">
        <f t="shared" si="2"/>
        <v>0.709579729</v>
      </c>
      <c r="J107" s="15">
        <f t="shared" si="2"/>
        <v>1</v>
      </c>
      <c r="K107" s="15">
        <f t="shared" si="2"/>
        <v>0.8080574564</v>
      </c>
      <c r="L107" s="15">
        <f t="shared" si="2"/>
        <v>0.1200981602</v>
      </c>
      <c r="M107" s="15">
        <f t="shared" si="2"/>
        <v>0.4813801227</v>
      </c>
      <c r="N107" s="15">
        <f t="shared" si="2"/>
        <v>0.4533009278</v>
      </c>
      <c r="O107" s="15">
        <f t="shared" si="2"/>
        <v>0.3988905325</v>
      </c>
      <c r="P107" s="15">
        <f t="shared" si="2"/>
        <v>0.7392823624</v>
      </c>
      <c r="Q107" s="15">
        <f t="shared" si="2"/>
        <v>0.3570599118</v>
      </c>
      <c r="R107" s="15">
        <f t="shared" si="2"/>
        <v>0.6750323465</v>
      </c>
      <c r="S107" s="15">
        <f t="shared" si="2"/>
        <v>0.4096596163</v>
      </c>
      <c r="T107" s="15">
        <f t="shared" si="2"/>
        <v>0.353081228</v>
      </c>
      <c r="U107" s="15">
        <f t="shared" si="2"/>
        <v>0.4174498382</v>
      </c>
      <c r="V107" s="15">
        <f t="shared" si="2"/>
        <v>0.2532793144</v>
      </c>
      <c r="W107" s="15">
        <f t="shared" si="2"/>
        <v>0</v>
      </c>
      <c r="X107" s="15">
        <f t="shared" si="2"/>
        <v>0.5018916324</v>
      </c>
      <c r="Y107" s="15">
        <f t="shared" si="2"/>
        <v>0.9726395154</v>
      </c>
      <c r="Z107" s="15">
        <f t="shared" si="2"/>
        <v>0.8687248864</v>
      </c>
      <c r="AA107" s="15">
        <f t="shared" ref="AA107:AA171" si="5">MAX(E7:Z7)</f>
        <v>0.8539083696</v>
      </c>
      <c r="AB107" s="15">
        <f t="shared" ref="AB107:AB171" si="6">MIN(E7:Z7)</f>
        <v>-2.445436626</v>
      </c>
    </row>
    <row r="108">
      <c r="A108" s="11" t="str">
        <f>redflag_questions!A3</f>
        <v>Sie hat eine schlechte Beziehung zu ihrem Vater.</v>
      </c>
      <c r="B108" s="15">
        <f t="shared" si="3"/>
        <v>4.25875218</v>
      </c>
      <c r="C108" s="15">
        <f t="shared" ref="C108:Z108" si="4">(C8-$AB108)/($AA108-$AB108)</f>
        <v>0.3776249878</v>
      </c>
      <c r="D108" s="15">
        <f t="shared" si="4"/>
        <v>0.726584513</v>
      </c>
      <c r="E108" s="15">
        <f t="shared" si="4"/>
        <v>0.7119115512</v>
      </c>
      <c r="F108" s="15">
        <f t="shared" si="4"/>
        <v>0.3690840463</v>
      </c>
      <c r="G108" s="15">
        <f t="shared" si="4"/>
        <v>0.7350402101</v>
      </c>
      <c r="H108" s="15">
        <f t="shared" si="4"/>
        <v>0.639009764</v>
      </c>
      <c r="I108" s="15">
        <f t="shared" si="4"/>
        <v>0.5193020571</v>
      </c>
      <c r="J108" s="15">
        <f t="shared" si="4"/>
        <v>0.5935935291</v>
      </c>
      <c r="K108" s="15">
        <f t="shared" si="4"/>
        <v>0.5582554189</v>
      </c>
      <c r="L108" s="15">
        <f t="shared" si="4"/>
        <v>0</v>
      </c>
      <c r="M108" s="15">
        <f t="shared" si="4"/>
        <v>0.291714089</v>
      </c>
      <c r="N108" s="15">
        <f t="shared" si="4"/>
        <v>0.01881254641</v>
      </c>
      <c r="O108" s="15">
        <f t="shared" si="4"/>
        <v>0.1924890822</v>
      </c>
      <c r="P108" s="15">
        <f t="shared" si="4"/>
        <v>0.2902896798</v>
      </c>
      <c r="Q108" s="15">
        <f t="shared" si="4"/>
        <v>0.2779475155</v>
      </c>
      <c r="R108" s="15">
        <f t="shared" si="4"/>
        <v>0.2305908781</v>
      </c>
      <c r="S108" s="15">
        <f t="shared" si="4"/>
        <v>0.3396450557</v>
      </c>
      <c r="T108" s="15">
        <f t="shared" si="4"/>
        <v>0.2732806642</v>
      </c>
      <c r="U108" s="15">
        <f t="shared" si="4"/>
        <v>0.5343668395</v>
      </c>
      <c r="V108" s="15">
        <f t="shared" si="4"/>
        <v>0.1562166496</v>
      </c>
      <c r="W108" s="15">
        <f t="shared" si="4"/>
        <v>0.01523465776</v>
      </c>
      <c r="X108" s="15">
        <f t="shared" si="4"/>
        <v>0.8055676057</v>
      </c>
      <c r="Y108" s="15">
        <f t="shared" si="4"/>
        <v>1</v>
      </c>
      <c r="Z108" s="15">
        <f t="shared" si="4"/>
        <v>0.5644438903</v>
      </c>
      <c r="AA108" s="15">
        <f t="shared" si="5"/>
        <v>0.7636366917</v>
      </c>
      <c r="AB108" s="15">
        <f t="shared" si="6"/>
        <v>-2.049191362</v>
      </c>
    </row>
    <row r="109">
      <c r="A109" s="11" t="str">
        <f>redflag_questions!A4</f>
        <v>Ihre Mutter hatte in der Eltern Beziehung das Sagen und war eher dominant.</v>
      </c>
      <c r="B109" s="15">
        <f t="shared" si="3"/>
        <v>4.064840632</v>
      </c>
      <c r="C109" s="15">
        <f t="shared" ref="C109:Z109" si="7">(C9-$AB109)/($AA109-$AB109)</f>
        <v>0.1722956271</v>
      </c>
      <c r="D109" s="15">
        <f t="shared" si="7"/>
        <v>0.6286314872</v>
      </c>
      <c r="E109" s="15">
        <f t="shared" si="7"/>
        <v>0.5821763136</v>
      </c>
      <c r="F109" s="15">
        <f t="shared" si="7"/>
        <v>0.3797362178</v>
      </c>
      <c r="G109" s="15">
        <f t="shared" si="7"/>
        <v>1</v>
      </c>
      <c r="H109" s="15">
        <f t="shared" si="7"/>
        <v>0.6694090969</v>
      </c>
      <c r="I109" s="15">
        <f t="shared" si="7"/>
        <v>0.171480561</v>
      </c>
      <c r="J109" s="15">
        <f t="shared" si="7"/>
        <v>0.6206703119</v>
      </c>
      <c r="K109" s="15">
        <f t="shared" si="7"/>
        <v>0.3158571033</v>
      </c>
      <c r="L109" s="15">
        <f t="shared" si="7"/>
        <v>0.498696553</v>
      </c>
      <c r="M109" s="15">
        <f t="shared" si="7"/>
        <v>0.01327110584</v>
      </c>
      <c r="N109" s="15">
        <f t="shared" si="7"/>
        <v>0.8023166197</v>
      </c>
      <c r="O109" s="15">
        <f t="shared" si="7"/>
        <v>0.7676848471</v>
      </c>
      <c r="P109" s="15">
        <f t="shared" si="7"/>
        <v>0.7630644155</v>
      </c>
      <c r="Q109" s="15">
        <f t="shared" si="7"/>
        <v>0.2819323424</v>
      </c>
      <c r="R109" s="15">
        <f t="shared" si="7"/>
        <v>0.005572748915</v>
      </c>
      <c r="S109" s="15">
        <f t="shared" si="7"/>
        <v>0.5086513441</v>
      </c>
      <c r="T109" s="15">
        <f t="shared" si="7"/>
        <v>0.2769240747</v>
      </c>
      <c r="U109" s="15">
        <f t="shared" si="7"/>
        <v>0.1587886163</v>
      </c>
      <c r="V109" s="15">
        <f t="shared" si="7"/>
        <v>0.1512959188</v>
      </c>
      <c r="W109" s="15">
        <f t="shared" si="7"/>
        <v>0</v>
      </c>
      <c r="X109" s="15">
        <f t="shared" si="7"/>
        <v>0.3362732135</v>
      </c>
      <c r="Y109" s="15">
        <f t="shared" si="7"/>
        <v>0.3981161271</v>
      </c>
      <c r="Z109" s="15">
        <f t="shared" si="7"/>
        <v>0.2527728702</v>
      </c>
      <c r="AA109" s="15">
        <f t="shared" si="5"/>
        <v>0.6147371107</v>
      </c>
      <c r="AB109" s="15">
        <f t="shared" si="6"/>
        <v>-2.006338889</v>
      </c>
    </row>
    <row r="110">
      <c r="A110" s="11" t="str">
        <f>redflag_questions!A5</f>
        <v>Sie ist eine Feministin und gibt Männer die Schuld an der Unterdrückung der Frauen.</v>
      </c>
      <c r="B110" s="15">
        <f t="shared" si="3"/>
        <v>6.128691073</v>
      </c>
      <c r="C110" s="15">
        <f t="shared" ref="C110:Z110" si="8">(C10-$AB110)/($AA110-$AB110)</f>
        <v>0.5434211092</v>
      </c>
      <c r="D110" s="15">
        <f t="shared" si="8"/>
        <v>0.7926840498</v>
      </c>
      <c r="E110" s="15">
        <f t="shared" si="8"/>
        <v>0.8477802736</v>
      </c>
      <c r="F110" s="15">
        <f t="shared" si="8"/>
        <v>0.482681837</v>
      </c>
      <c r="G110" s="15">
        <f t="shared" si="8"/>
        <v>1</v>
      </c>
      <c r="H110" s="15">
        <f t="shared" si="8"/>
        <v>0.7062226518</v>
      </c>
      <c r="I110" s="15">
        <f t="shared" si="8"/>
        <v>0.8736206222</v>
      </c>
      <c r="J110" s="15">
        <f t="shared" si="8"/>
        <v>0.9638594877</v>
      </c>
      <c r="K110" s="15">
        <f t="shared" si="8"/>
        <v>0.3707544843</v>
      </c>
      <c r="L110" s="15">
        <f t="shared" si="8"/>
        <v>0.8054923857</v>
      </c>
      <c r="M110" s="15">
        <f t="shared" si="8"/>
        <v>0.5733289149</v>
      </c>
      <c r="N110" s="15">
        <f t="shared" si="8"/>
        <v>0.8171283195</v>
      </c>
      <c r="O110" s="15">
        <f t="shared" si="8"/>
        <v>0.816570649</v>
      </c>
      <c r="P110" s="15">
        <f t="shared" si="8"/>
        <v>0.3883229315</v>
      </c>
      <c r="Q110" s="15">
        <f t="shared" si="8"/>
        <v>0.7503827335</v>
      </c>
      <c r="R110" s="15">
        <f t="shared" si="8"/>
        <v>0.1171039914</v>
      </c>
      <c r="S110" s="15">
        <f t="shared" si="8"/>
        <v>0.6646502819</v>
      </c>
      <c r="T110" s="15">
        <f t="shared" si="8"/>
        <v>0.5520167129</v>
      </c>
      <c r="U110" s="15">
        <f t="shared" si="8"/>
        <v>0.7832531121</v>
      </c>
      <c r="V110" s="15">
        <f t="shared" si="8"/>
        <v>0.3437079399</v>
      </c>
      <c r="W110" s="15">
        <f t="shared" si="8"/>
        <v>0.6754558527</v>
      </c>
      <c r="X110" s="15">
        <f t="shared" si="8"/>
        <v>0.1006518074</v>
      </c>
      <c r="Y110" s="15">
        <f t="shared" si="8"/>
        <v>0</v>
      </c>
      <c r="Z110" s="15">
        <f t="shared" si="8"/>
        <v>0.7397684276</v>
      </c>
      <c r="AA110" s="15">
        <f t="shared" si="5"/>
        <v>1.807510609</v>
      </c>
      <c r="AB110" s="15">
        <f t="shared" si="6"/>
        <v>-1.826087741</v>
      </c>
    </row>
    <row r="111">
      <c r="A111" s="11" t="str">
        <f>redflag_questions!A6</f>
        <v>Sie ist eine Single Mutter die sich freiwillig von ihrem Mann getrennt hat.</v>
      </c>
      <c r="B111" s="15">
        <f t="shared" si="3"/>
        <v>4.499664628</v>
      </c>
      <c r="C111" s="15">
        <f t="shared" ref="C111:Z111" si="9">(C11-$AB111)/($AA111-$AB111)</f>
        <v>0.2669437968</v>
      </c>
      <c r="D111" s="15">
        <f t="shared" si="9"/>
        <v>0.8588801311</v>
      </c>
      <c r="E111" s="15">
        <f t="shared" si="9"/>
        <v>0.5106950547</v>
      </c>
      <c r="F111" s="15">
        <f t="shared" si="9"/>
        <v>0.2838048568</v>
      </c>
      <c r="G111" s="15">
        <f t="shared" si="9"/>
        <v>0.6238574642</v>
      </c>
      <c r="H111" s="15">
        <f t="shared" si="9"/>
        <v>0</v>
      </c>
      <c r="I111" s="15">
        <f t="shared" si="9"/>
        <v>0.04674358753</v>
      </c>
      <c r="J111" s="15">
        <f t="shared" si="9"/>
        <v>1</v>
      </c>
      <c r="K111" s="15">
        <f t="shared" si="9"/>
        <v>0.3523181303</v>
      </c>
      <c r="L111" s="15">
        <f t="shared" si="9"/>
        <v>0.2568561561</v>
      </c>
      <c r="M111" s="15">
        <f t="shared" si="9"/>
        <v>0.4252069461</v>
      </c>
      <c r="N111" s="15">
        <f t="shared" si="9"/>
        <v>0.52289869</v>
      </c>
      <c r="O111" s="15">
        <f t="shared" si="9"/>
        <v>0.1917517697</v>
      </c>
      <c r="P111" s="15">
        <f t="shared" si="9"/>
        <v>0.3400201711</v>
      </c>
      <c r="Q111" s="15">
        <f t="shared" si="9"/>
        <v>0.4960977223</v>
      </c>
      <c r="R111" s="15">
        <f t="shared" si="9"/>
        <v>0.167795648</v>
      </c>
      <c r="S111" s="15">
        <f t="shared" si="9"/>
        <v>0.9442312078</v>
      </c>
      <c r="T111" s="15">
        <f t="shared" si="9"/>
        <v>0.4948175507</v>
      </c>
      <c r="U111" s="15">
        <f t="shared" si="9"/>
        <v>0.3773500901</v>
      </c>
      <c r="V111" s="15">
        <f t="shared" si="9"/>
        <v>0.7230180501</v>
      </c>
      <c r="W111" s="15">
        <f t="shared" si="9"/>
        <v>0.4633584306</v>
      </c>
      <c r="X111" s="15">
        <f t="shared" si="9"/>
        <v>0.4405614275</v>
      </c>
      <c r="Y111" s="15">
        <f t="shared" si="9"/>
        <v>0.5970949633</v>
      </c>
      <c r="Z111" s="15">
        <f t="shared" si="9"/>
        <v>0.4148932618</v>
      </c>
      <c r="AA111" s="15">
        <f t="shared" si="5"/>
        <v>1.676190503</v>
      </c>
      <c r="AB111" s="15">
        <f t="shared" si="6"/>
        <v>-2.731288003</v>
      </c>
    </row>
    <row r="112">
      <c r="A112" s="11" t="str">
        <f>redflag_questions!A7</f>
        <v>Sie ist deutlich älter als du mindestens.5 Jahre oder mehr.</v>
      </c>
      <c r="B112" s="15">
        <f t="shared" si="3"/>
        <v>4.775893296</v>
      </c>
      <c r="C112" s="15">
        <f t="shared" ref="C112:Z112" si="10">(C12-$AB112)/($AA112-$AB112)</f>
        <v>0.6675000381</v>
      </c>
      <c r="D112" s="15">
        <f t="shared" si="10"/>
        <v>0.7150540779</v>
      </c>
      <c r="E112" s="15">
        <f t="shared" si="10"/>
        <v>0</v>
      </c>
      <c r="F112" s="15">
        <f t="shared" si="10"/>
        <v>0.3908263928</v>
      </c>
      <c r="G112" s="15">
        <f t="shared" si="10"/>
        <v>0.4941422584</v>
      </c>
      <c r="H112" s="15">
        <f t="shared" si="10"/>
        <v>0.3353360117</v>
      </c>
      <c r="I112" s="15">
        <f t="shared" si="10"/>
        <v>0.7227201196</v>
      </c>
      <c r="J112" s="15">
        <f t="shared" si="10"/>
        <v>0.3453048582</v>
      </c>
      <c r="K112" s="15">
        <f t="shared" si="10"/>
        <v>0.8516319737</v>
      </c>
      <c r="L112" s="15">
        <f t="shared" si="10"/>
        <v>0.3578531106</v>
      </c>
      <c r="M112" s="15">
        <f t="shared" si="10"/>
        <v>0.5161641225</v>
      </c>
      <c r="N112" s="15">
        <f t="shared" si="10"/>
        <v>0.03088562782</v>
      </c>
      <c r="O112" s="15">
        <f t="shared" si="10"/>
        <v>0.2722998405</v>
      </c>
      <c r="P112" s="15">
        <f t="shared" si="10"/>
        <v>0.3379413932</v>
      </c>
      <c r="Q112" s="15">
        <f t="shared" si="10"/>
        <v>0.4158714617</v>
      </c>
      <c r="R112" s="15">
        <f t="shared" si="10"/>
        <v>0.1568159979</v>
      </c>
      <c r="S112" s="15">
        <f t="shared" si="10"/>
        <v>0.9733791397</v>
      </c>
      <c r="T112" s="15">
        <f t="shared" si="10"/>
        <v>0.674952632</v>
      </c>
      <c r="U112" s="15">
        <f t="shared" si="10"/>
        <v>1</v>
      </c>
      <c r="V112" s="15">
        <f t="shared" si="10"/>
        <v>0.7407332893</v>
      </c>
      <c r="W112" s="15">
        <f t="shared" si="10"/>
        <v>0.4676539952</v>
      </c>
      <c r="X112" s="15">
        <f t="shared" si="10"/>
        <v>0.2836084687</v>
      </c>
      <c r="Y112" s="15">
        <f t="shared" si="10"/>
        <v>0.5053119401</v>
      </c>
      <c r="Z112" s="15">
        <f t="shared" si="10"/>
        <v>0.2061571607</v>
      </c>
      <c r="AA112" s="15">
        <f t="shared" si="5"/>
        <v>1.541955741</v>
      </c>
      <c r="AB112" s="15">
        <f t="shared" si="6"/>
        <v>-2.648930262</v>
      </c>
    </row>
    <row r="113">
      <c r="A113" s="11" t="str">
        <f>redflag_questions!A8</f>
        <v>Sie ist eine einfach oder mehrfach geschiedene Frau.</v>
      </c>
      <c r="B113" s="15">
        <f t="shared" si="3"/>
        <v>6.426802388</v>
      </c>
      <c r="C113" s="15">
        <f t="shared" ref="C113:Z113" si="11">(C13-$AB113)/($AA113-$AB113)</f>
        <v>0.8541873079</v>
      </c>
      <c r="D113" s="15">
        <f t="shared" si="11"/>
        <v>0.9519975725</v>
      </c>
      <c r="E113" s="15">
        <f t="shared" si="11"/>
        <v>0.7589089669</v>
      </c>
      <c r="F113" s="15">
        <f t="shared" si="11"/>
        <v>0.6260140956</v>
      </c>
      <c r="G113" s="15">
        <f t="shared" si="11"/>
        <v>0.47963119</v>
      </c>
      <c r="H113" s="15">
        <f t="shared" si="11"/>
        <v>0</v>
      </c>
      <c r="I113" s="15">
        <f t="shared" si="11"/>
        <v>0.6167324183</v>
      </c>
      <c r="J113" s="15">
        <f t="shared" si="11"/>
        <v>0.537082713</v>
      </c>
      <c r="K113" s="15">
        <f t="shared" si="11"/>
        <v>0.8119830877</v>
      </c>
      <c r="L113" s="15">
        <f t="shared" si="11"/>
        <v>0.3143357026</v>
      </c>
      <c r="M113" s="15">
        <f t="shared" si="11"/>
        <v>0.7213342204</v>
      </c>
      <c r="N113" s="15">
        <f t="shared" si="11"/>
        <v>0.8262845563</v>
      </c>
      <c r="O113" s="15">
        <f t="shared" si="11"/>
        <v>0.3200800937</v>
      </c>
      <c r="P113" s="15">
        <f t="shared" si="11"/>
        <v>1</v>
      </c>
      <c r="Q113" s="15">
        <f t="shared" si="11"/>
        <v>0.5938274531</v>
      </c>
      <c r="R113" s="15">
        <f t="shared" si="11"/>
        <v>0.5837458791</v>
      </c>
      <c r="S113" s="15">
        <f t="shared" si="11"/>
        <v>0.573863014</v>
      </c>
      <c r="T113" s="15">
        <f t="shared" si="11"/>
        <v>0.6989233298</v>
      </c>
      <c r="U113" s="15">
        <f t="shared" si="11"/>
        <v>0.7910105611</v>
      </c>
      <c r="V113" s="15">
        <f t="shared" si="11"/>
        <v>0.8783134603</v>
      </c>
      <c r="W113" s="15">
        <f t="shared" si="11"/>
        <v>0.3204319216</v>
      </c>
      <c r="X113" s="15">
        <f t="shared" si="11"/>
        <v>0.9037726478</v>
      </c>
      <c r="Y113" s="15">
        <f t="shared" si="11"/>
        <v>0.4931781086</v>
      </c>
      <c r="Z113" s="15">
        <f t="shared" si="11"/>
        <v>0.7686874312</v>
      </c>
      <c r="AA113" s="15">
        <f t="shared" si="5"/>
        <v>1.22007828</v>
      </c>
      <c r="AB113" s="15">
        <f t="shared" si="6"/>
        <v>-2.235383756</v>
      </c>
    </row>
    <row r="114">
      <c r="A114" s="11" t="str">
        <f>redflag_questions!A9</f>
        <v>Sie hat einen hohen Bodycount (Anzahl der Personen mit denen Sie Sex hatte). So kannst du einen normalen BodyCount berechnen: (Alter - 18) x 1.3 = BodyCount</v>
      </c>
      <c r="B114" s="15">
        <f t="shared" si="3"/>
        <v>5.777162855</v>
      </c>
      <c r="C114" s="15">
        <f t="shared" ref="C114:Z114" si="12">(C14-$AB114)/($AA114-$AB114)</f>
        <v>0.8315382609</v>
      </c>
      <c r="D114" s="15">
        <f t="shared" si="12"/>
        <v>0.9445413681</v>
      </c>
      <c r="E114" s="15">
        <f t="shared" si="12"/>
        <v>0.7214603603</v>
      </c>
      <c r="F114" s="15">
        <f t="shared" si="12"/>
        <v>0.5679229637</v>
      </c>
      <c r="G114" s="15">
        <f t="shared" si="12"/>
        <v>0</v>
      </c>
      <c r="H114" s="15">
        <f t="shared" si="12"/>
        <v>0.8395003316</v>
      </c>
      <c r="I114" s="15">
        <f t="shared" si="12"/>
        <v>0.7190898281</v>
      </c>
      <c r="J114" s="15">
        <f t="shared" si="12"/>
        <v>0.7401069734</v>
      </c>
      <c r="K114" s="15">
        <f t="shared" si="12"/>
        <v>0.1980537007</v>
      </c>
      <c r="L114" s="15">
        <f t="shared" si="12"/>
        <v>0.5087398207</v>
      </c>
      <c r="M114" s="15">
        <f t="shared" si="12"/>
        <v>0.4296598699</v>
      </c>
      <c r="N114" s="15">
        <f t="shared" si="12"/>
        <v>0.7993013823</v>
      </c>
      <c r="O114" s="15">
        <f t="shared" si="12"/>
        <v>0.4674991907</v>
      </c>
      <c r="P114" s="15">
        <f t="shared" si="12"/>
        <v>1</v>
      </c>
      <c r="Q114" s="15">
        <f t="shared" si="12"/>
        <v>0.2891279994</v>
      </c>
      <c r="R114" s="15">
        <f t="shared" si="12"/>
        <v>0.7167406986</v>
      </c>
      <c r="S114" s="15">
        <f t="shared" si="12"/>
        <v>0.3670096526</v>
      </c>
      <c r="T114" s="15">
        <f t="shared" si="12"/>
        <v>0.6521571699</v>
      </c>
      <c r="U114" s="15">
        <f t="shared" si="12"/>
        <v>0.5840127515</v>
      </c>
      <c r="V114" s="15">
        <f t="shared" si="12"/>
        <v>0.05383989283</v>
      </c>
      <c r="W114" s="15">
        <f t="shared" si="12"/>
        <v>0.6553102527</v>
      </c>
      <c r="X114" s="15">
        <f t="shared" si="12"/>
        <v>0.7766789712</v>
      </c>
      <c r="Y114" s="15">
        <f t="shared" si="12"/>
        <v>0.2701417029</v>
      </c>
      <c r="Z114" s="15">
        <f t="shared" si="12"/>
        <v>0.7327577109</v>
      </c>
      <c r="AA114" s="15">
        <f t="shared" si="5"/>
        <v>1.22007828</v>
      </c>
      <c r="AB114" s="15">
        <f t="shared" si="6"/>
        <v>-1.770809886</v>
      </c>
    </row>
    <row r="115">
      <c r="A115" s="11" t="str">
        <f>redflag_questions!A10</f>
        <v>Sie war sehr jung (zwischen 12-16 Jahre) als Sie ihr erstes mal Sex hatte.</v>
      </c>
      <c r="B115" s="15">
        <f t="shared" si="3"/>
        <v>4.347681494</v>
      </c>
      <c r="C115" s="15">
        <f t="shared" ref="C115:Z115" si="13">(C15-$AB115)/($AA115-$AB115)</f>
        <v>1.013045057</v>
      </c>
      <c r="D115" s="15">
        <f t="shared" si="13"/>
        <v>0.9506331524</v>
      </c>
      <c r="E115" s="15">
        <f t="shared" si="13"/>
        <v>0.8872041572</v>
      </c>
      <c r="F115" s="15">
        <f t="shared" si="13"/>
        <v>0.2621331537</v>
      </c>
      <c r="G115" s="15">
        <f t="shared" si="13"/>
        <v>0.1832536344</v>
      </c>
      <c r="H115" s="15">
        <f t="shared" si="13"/>
        <v>1</v>
      </c>
      <c r="I115" s="15">
        <f t="shared" si="13"/>
        <v>0.3728916933</v>
      </c>
      <c r="J115" s="15">
        <f t="shared" si="13"/>
        <v>0.6728621106</v>
      </c>
      <c r="K115" s="15">
        <f t="shared" si="13"/>
        <v>0.2491493094</v>
      </c>
      <c r="L115" s="15">
        <f t="shared" si="13"/>
        <v>0.2298692377</v>
      </c>
      <c r="M115" s="15">
        <f t="shared" si="13"/>
        <v>0.3305244174</v>
      </c>
      <c r="N115" s="15">
        <f t="shared" si="13"/>
        <v>0.5483845563</v>
      </c>
      <c r="O115" s="15">
        <f t="shared" si="13"/>
        <v>0.2547097267</v>
      </c>
      <c r="P115" s="15">
        <f t="shared" si="13"/>
        <v>0.3294360714</v>
      </c>
      <c r="Q115" s="15">
        <f t="shared" si="13"/>
        <v>0.1237141165</v>
      </c>
      <c r="R115" s="15">
        <f t="shared" si="13"/>
        <v>0.2838221044</v>
      </c>
      <c r="S115" s="15">
        <f t="shared" si="13"/>
        <v>0.138589801</v>
      </c>
      <c r="T115" s="15">
        <f t="shared" si="13"/>
        <v>0.118115195</v>
      </c>
      <c r="U115" s="15">
        <f t="shared" si="13"/>
        <v>0.5159277127</v>
      </c>
      <c r="V115" s="15">
        <f t="shared" si="13"/>
        <v>0.2269951077</v>
      </c>
      <c r="W115" s="15">
        <f t="shared" si="13"/>
        <v>0</v>
      </c>
      <c r="X115" s="15">
        <f t="shared" si="13"/>
        <v>0.4498075393</v>
      </c>
      <c r="Y115" s="15">
        <f t="shared" si="13"/>
        <v>0.7544590947</v>
      </c>
      <c r="Z115" s="15">
        <f t="shared" si="13"/>
        <v>0.5389086363</v>
      </c>
      <c r="AA115" s="15">
        <f t="shared" si="5"/>
        <v>1.235945968</v>
      </c>
      <c r="AB115" s="15">
        <f t="shared" si="6"/>
        <v>-2.445436626</v>
      </c>
    </row>
    <row r="116">
      <c r="A116" s="11" t="str">
        <f>redflag_questions!A11</f>
        <v>Die meisten und besten Ihrer Freundinnen sind Party Girls.</v>
      </c>
      <c r="B116" s="15">
        <f t="shared" si="3"/>
        <v>4.803099579</v>
      </c>
      <c r="C116" s="15">
        <f t="shared" ref="C116:Z116" si="14">(C16-$AB116)/($AA116-$AB116)</f>
        <v>0.8245137453</v>
      </c>
      <c r="D116" s="15">
        <f t="shared" si="14"/>
        <v>0.714336867</v>
      </c>
      <c r="E116" s="15">
        <f t="shared" si="14"/>
        <v>0.4666835104</v>
      </c>
      <c r="F116" s="15">
        <f t="shared" si="14"/>
        <v>0.3080152066</v>
      </c>
      <c r="G116" s="15">
        <f t="shared" si="14"/>
        <v>0.08081603799</v>
      </c>
      <c r="H116" s="15">
        <f t="shared" si="14"/>
        <v>0.2384747422</v>
      </c>
      <c r="I116" s="15">
        <f t="shared" si="14"/>
        <v>0</v>
      </c>
      <c r="J116" s="15">
        <f t="shared" si="14"/>
        <v>0.4968542995</v>
      </c>
      <c r="K116" s="15">
        <f t="shared" si="14"/>
        <v>0.1533567638</v>
      </c>
      <c r="L116" s="15">
        <f t="shared" si="14"/>
        <v>0.6703751965</v>
      </c>
      <c r="M116" s="15">
        <f t="shared" si="14"/>
        <v>0.3540130828</v>
      </c>
      <c r="N116" s="15">
        <f t="shared" si="14"/>
        <v>0.7956822485</v>
      </c>
      <c r="O116" s="15">
        <f t="shared" si="14"/>
        <v>0.4989303842</v>
      </c>
      <c r="P116" s="15">
        <f t="shared" si="14"/>
        <v>0.1194997989</v>
      </c>
      <c r="Q116" s="15">
        <f t="shared" si="14"/>
        <v>0.4474447214</v>
      </c>
      <c r="R116" s="15">
        <f t="shared" si="14"/>
        <v>0.5450706527</v>
      </c>
      <c r="S116" s="15">
        <f t="shared" si="14"/>
        <v>0.6606614908</v>
      </c>
      <c r="T116" s="15">
        <f t="shared" si="14"/>
        <v>0.009108908863</v>
      </c>
      <c r="U116" s="15">
        <f t="shared" si="14"/>
        <v>0.9153324176</v>
      </c>
      <c r="V116" s="15">
        <f t="shared" si="14"/>
        <v>0.2318934099</v>
      </c>
      <c r="W116" s="15">
        <f t="shared" si="14"/>
        <v>0.7982049724</v>
      </c>
      <c r="X116" s="15">
        <f t="shared" si="14"/>
        <v>0.875749537</v>
      </c>
      <c r="Y116" s="15">
        <f t="shared" si="14"/>
        <v>0.3224209942</v>
      </c>
      <c r="Z116" s="15">
        <f t="shared" si="14"/>
        <v>1</v>
      </c>
      <c r="AA116" s="15">
        <f t="shared" si="5"/>
        <v>1.303080714</v>
      </c>
      <c r="AB116" s="15">
        <f t="shared" si="6"/>
        <v>-2.041070976</v>
      </c>
    </row>
    <row r="117">
      <c r="A117" s="11" t="str">
        <f>redflag_questions!A12</f>
        <v>Sie ist auf Social Media sehr aktiv und sucht dort Bestätigung. Sie hat auf einer Plattform über 800 Follower.</v>
      </c>
      <c r="B117" s="15">
        <f t="shared" si="3"/>
        <v>5.120495602</v>
      </c>
      <c r="C117" s="15">
        <f t="shared" ref="C117:Z117" si="15">(C17-$AB117)/($AA117-$AB117)</f>
        <v>0.1694258465</v>
      </c>
      <c r="D117" s="15">
        <f t="shared" si="15"/>
        <v>0.476695494</v>
      </c>
      <c r="E117" s="15">
        <f t="shared" si="15"/>
        <v>0.5995426767</v>
      </c>
      <c r="F117" s="15">
        <f t="shared" si="15"/>
        <v>0.4557900574</v>
      </c>
      <c r="G117" s="15">
        <f t="shared" si="15"/>
        <v>0.1107538179</v>
      </c>
      <c r="H117" s="15">
        <f t="shared" si="15"/>
        <v>0.3995832207</v>
      </c>
      <c r="I117" s="15">
        <f t="shared" si="15"/>
        <v>0.597323216</v>
      </c>
      <c r="J117" s="15">
        <f t="shared" si="15"/>
        <v>0.2308887529</v>
      </c>
      <c r="K117" s="15">
        <f t="shared" si="15"/>
        <v>0</v>
      </c>
      <c r="L117" s="15">
        <f t="shared" si="15"/>
        <v>0.8229760096</v>
      </c>
      <c r="M117" s="15">
        <f t="shared" si="15"/>
        <v>0.5588980064</v>
      </c>
      <c r="N117" s="15">
        <f t="shared" si="15"/>
        <v>1</v>
      </c>
      <c r="O117" s="15">
        <f t="shared" si="15"/>
        <v>0.5986716705</v>
      </c>
      <c r="P117" s="15">
        <f t="shared" si="15"/>
        <v>0.9882990887</v>
      </c>
      <c r="Q117" s="15">
        <f t="shared" si="15"/>
        <v>0.6471850136</v>
      </c>
      <c r="R117" s="15">
        <f t="shared" si="15"/>
        <v>0.2250131103</v>
      </c>
      <c r="S117" s="15">
        <f t="shared" si="15"/>
        <v>0.5310755378</v>
      </c>
      <c r="T117" s="15">
        <f t="shared" si="15"/>
        <v>0.534656106</v>
      </c>
      <c r="U117" s="15">
        <f t="shared" si="15"/>
        <v>0.4708544599</v>
      </c>
      <c r="V117" s="15">
        <f t="shared" si="15"/>
        <v>0.7287027302</v>
      </c>
      <c r="W117" s="15">
        <f t="shared" si="15"/>
        <v>0.1252412747</v>
      </c>
      <c r="X117" s="15">
        <f t="shared" si="15"/>
        <v>0.9662414091</v>
      </c>
      <c r="Y117" s="15">
        <f t="shared" si="15"/>
        <v>0.7174462808</v>
      </c>
      <c r="Z117" s="15">
        <f t="shared" si="15"/>
        <v>0.3339256643</v>
      </c>
      <c r="AA117" s="15">
        <f t="shared" si="5"/>
        <v>1.666245585</v>
      </c>
      <c r="AB117" s="15">
        <f t="shared" si="6"/>
        <v>-1.528222695</v>
      </c>
    </row>
    <row r="118">
      <c r="A118" s="11" t="str">
        <f>redflag_questions!A13</f>
        <v>Sie hat sehr häufig ihr Smartphone bei euren Treffen in der Hand beziehungsweise legt das Handy direkt vor sich auf den Tisch.</v>
      </c>
      <c r="B118" s="15">
        <f t="shared" si="3"/>
        <v>4.048915205</v>
      </c>
      <c r="C118" s="15">
        <f t="shared" ref="C118:Z118" si="16">(C18-$AB118)/($AA118-$AB118)</f>
        <v>-0.2013514588</v>
      </c>
      <c r="D118" s="15">
        <f t="shared" si="16"/>
        <v>0.01256064216</v>
      </c>
      <c r="E118" s="15">
        <f t="shared" si="16"/>
        <v>0.4574410055</v>
      </c>
      <c r="F118" s="15">
        <f t="shared" si="16"/>
        <v>0.2412358891</v>
      </c>
      <c r="G118" s="15">
        <f t="shared" si="16"/>
        <v>0.7463964184</v>
      </c>
      <c r="H118" s="15">
        <f t="shared" si="16"/>
        <v>0.5844978737</v>
      </c>
      <c r="I118" s="15">
        <f t="shared" si="16"/>
        <v>0.2207624923</v>
      </c>
      <c r="J118" s="15">
        <f t="shared" si="16"/>
        <v>0.1324425423</v>
      </c>
      <c r="K118" s="15">
        <f t="shared" si="16"/>
        <v>0.2686283765</v>
      </c>
      <c r="L118" s="15">
        <f t="shared" si="16"/>
        <v>0.1723880004</v>
      </c>
      <c r="M118" s="15">
        <f t="shared" si="16"/>
        <v>0.427915494</v>
      </c>
      <c r="N118" s="15">
        <f t="shared" si="16"/>
        <v>0.06290185886</v>
      </c>
      <c r="O118" s="15">
        <f t="shared" si="16"/>
        <v>0.6456915173</v>
      </c>
      <c r="P118" s="15">
        <f t="shared" si="16"/>
        <v>0.8322612942</v>
      </c>
      <c r="Q118" s="15">
        <f t="shared" si="16"/>
        <v>0.5555515598</v>
      </c>
      <c r="R118" s="15">
        <f t="shared" si="16"/>
        <v>0.382491668</v>
      </c>
      <c r="S118" s="15">
        <f t="shared" si="16"/>
        <v>0</v>
      </c>
      <c r="T118" s="15">
        <f t="shared" si="16"/>
        <v>0.5563564196</v>
      </c>
      <c r="U118" s="15">
        <f t="shared" si="16"/>
        <v>0.6953656051</v>
      </c>
      <c r="V118" s="15">
        <f t="shared" si="16"/>
        <v>0.3760600363</v>
      </c>
      <c r="W118" s="15">
        <f t="shared" si="16"/>
        <v>0.5604761947</v>
      </c>
      <c r="X118" s="15">
        <f t="shared" si="16"/>
        <v>0.1329374636</v>
      </c>
      <c r="Y118" s="15">
        <f t="shared" si="16"/>
        <v>1</v>
      </c>
      <c r="Z118" s="15">
        <f t="shared" si="16"/>
        <v>0.8543856001</v>
      </c>
      <c r="AA118" s="15">
        <f t="shared" si="5"/>
        <v>1.195257431</v>
      </c>
      <c r="AB118" s="15">
        <f t="shared" si="6"/>
        <v>-1.093828221</v>
      </c>
    </row>
    <row r="119">
      <c r="A119" s="11" t="str">
        <f>redflag_questions!A14</f>
        <v>Sie kann sich nicht entspannen oder einfach mal nichts tun und muss ständig aktiv sein.</v>
      </c>
      <c r="B119" s="15">
        <f t="shared" si="3"/>
        <v>5.808984937</v>
      </c>
      <c r="C119" s="15">
        <f t="shared" ref="C119:Z119" si="17">(C19-$AB119)/($AA119-$AB119)</f>
        <v>0.7056184889</v>
      </c>
      <c r="D119" s="15">
        <f t="shared" si="17"/>
        <v>0.0327568521</v>
      </c>
      <c r="E119" s="15">
        <f t="shared" si="17"/>
        <v>0.7762170584</v>
      </c>
      <c r="F119" s="15">
        <f t="shared" si="17"/>
        <v>0.9181749922</v>
      </c>
      <c r="G119" s="15">
        <f t="shared" si="17"/>
        <v>0.8436273487</v>
      </c>
      <c r="H119" s="15">
        <f t="shared" si="17"/>
        <v>0</v>
      </c>
      <c r="I119" s="15">
        <f t="shared" si="17"/>
        <v>0.4874774676</v>
      </c>
      <c r="J119" s="15">
        <f t="shared" si="17"/>
        <v>0.6710282541</v>
      </c>
      <c r="K119" s="15">
        <f t="shared" si="17"/>
        <v>0.3128482553</v>
      </c>
      <c r="L119" s="15">
        <f t="shared" si="17"/>
        <v>0.5878968297</v>
      </c>
      <c r="M119" s="15">
        <f t="shared" si="17"/>
        <v>0.5178878196</v>
      </c>
      <c r="N119" s="15">
        <f t="shared" si="17"/>
        <v>1</v>
      </c>
      <c r="O119" s="15">
        <f t="shared" si="17"/>
        <v>0.6633901105</v>
      </c>
      <c r="P119" s="15">
        <f t="shared" si="17"/>
        <v>0.7808058068</v>
      </c>
      <c r="Q119" s="15">
        <f t="shared" si="17"/>
        <v>0.3934757904</v>
      </c>
      <c r="R119" s="15">
        <f t="shared" si="17"/>
        <v>0.5970591058</v>
      </c>
      <c r="S119" s="15">
        <f t="shared" si="17"/>
        <v>0.08884327911</v>
      </c>
      <c r="T119" s="15">
        <f t="shared" si="17"/>
        <v>0.9309736268</v>
      </c>
      <c r="U119" s="15">
        <f t="shared" si="17"/>
        <v>0.9635660503</v>
      </c>
      <c r="V119" s="15">
        <f t="shared" si="17"/>
        <v>0.6945824338</v>
      </c>
      <c r="W119" s="15">
        <f t="shared" si="17"/>
        <v>0.9775980248</v>
      </c>
      <c r="X119" s="15">
        <f t="shared" si="17"/>
        <v>0.2294048882</v>
      </c>
      <c r="Y119" s="15">
        <f t="shared" si="17"/>
        <v>0.5044257973</v>
      </c>
      <c r="Z119" s="15">
        <f t="shared" si="17"/>
        <v>0.2639055677</v>
      </c>
      <c r="AA119" s="15">
        <f t="shared" si="5"/>
        <v>1.143028372</v>
      </c>
      <c r="AB119" s="15">
        <f t="shared" si="6"/>
        <v>-2.235383756</v>
      </c>
    </row>
    <row r="120">
      <c r="A120" s="11" t="str">
        <f>redflag_questions!A15</f>
        <v>Sie hat einen moralisch gesehen einen schlechten Freundeskreis.</v>
      </c>
      <c r="B120" s="15">
        <f t="shared" si="3"/>
        <v>7.167676725</v>
      </c>
      <c r="C120" s="15">
        <f t="shared" ref="C120:Z120" si="18">(C20-$AB120)/($AA120-$AB120)</f>
        <v>0.4599518286</v>
      </c>
      <c r="D120" s="15">
        <f t="shared" si="18"/>
        <v>0.7004600566</v>
      </c>
      <c r="E120" s="15">
        <f t="shared" si="18"/>
        <v>0.9847375391</v>
      </c>
      <c r="F120" s="15">
        <f t="shared" si="18"/>
        <v>0.7159519348</v>
      </c>
      <c r="G120" s="15">
        <f t="shared" si="18"/>
        <v>0.2231647612</v>
      </c>
      <c r="H120" s="15">
        <f t="shared" si="18"/>
        <v>0.9789495236</v>
      </c>
      <c r="I120" s="15">
        <f t="shared" si="18"/>
        <v>0.4068892767</v>
      </c>
      <c r="J120" s="15">
        <f t="shared" si="18"/>
        <v>0.730243901</v>
      </c>
      <c r="K120" s="15">
        <f t="shared" si="18"/>
        <v>0.5509174064</v>
      </c>
      <c r="L120" s="15">
        <f t="shared" si="18"/>
        <v>0.6543628366</v>
      </c>
      <c r="M120" s="15">
        <f t="shared" si="18"/>
        <v>0.9049873401</v>
      </c>
      <c r="N120" s="15">
        <f t="shared" si="18"/>
        <v>0.6216993022</v>
      </c>
      <c r="O120" s="15">
        <f t="shared" si="18"/>
        <v>0</v>
      </c>
      <c r="P120" s="15">
        <f t="shared" si="18"/>
        <v>0.8457959998</v>
      </c>
      <c r="Q120" s="15">
        <f t="shared" si="18"/>
        <v>0.6471860231</v>
      </c>
      <c r="R120" s="15">
        <f t="shared" si="18"/>
        <v>0.8936902531</v>
      </c>
      <c r="S120" s="15">
        <f t="shared" si="18"/>
        <v>0.7760911009</v>
      </c>
      <c r="T120" s="15">
        <f t="shared" si="18"/>
        <v>0.6477637158</v>
      </c>
      <c r="U120" s="15">
        <f t="shared" si="18"/>
        <v>0.7475383447</v>
      </c>
      <c r="V120" s="15">
        <f t="shared" si="18"/>
        <v>0.9500540082</v>
      </c>
      <c r="W120" s="15">
        <f t="shared" si="18"/>
        <v>0.9260838278</v>
      </c>
      <c r="X120" s="15">
        <f t="shared" si="18"/>
        <v>0.869713756</v>
      </c>
      <c r="Y120" s="15">
        <f t="shared" si="18"/>
        <v>0.9661914044</v>
      </c>
      <c r="Z120" s="15">
        <f t="shared" si="18"/>
        <v>1</v>
      </c>
      <c r="AA120" s="15">
        <f t="shared" si="5"/>
        <v>1.303080714</v>
      </c>
      <c r="AB120" s="15">
        <f t="shared" si="6"/>
        <v>-1.886146199</v>
      </c>
    </row>
    <row r="121">
      <c r="A121" s="11" t="str">
        <f>redflag_questions!A16</f>
        <v>Sie ist häufig mit vielen Männer privat umgeben und trifft sich mit diesen.</v>
      </c>
      <c r="B121" s="15">
        <f t="shared" si="3"/>
        <v>5.081149473</v>
      </c>
      <c r="C121" s="15">
        <f t="shared" ref="C121:Z121" si="19">(C21-$AB121)/($AA121-$AB121)</f>
        <v>1.059636627</v>
      </c>
      <c r="D121" s="15">
        <f t="shared" si="19"/>
        <v>0.1800814128</v>
      </c>
      <c r="E121" s="15">
        <f t="shared" si="19"/>
        <v>0.6265163706</v>
      </c>
      <c r="F121" s="15">
        <f t="shared" si="19"/>
        <v>0.4654280501</v>
      </c>
      <c r="G121" s="15">
        <f t="shared" si="19"/>
        <v>0.6476916758</v>
      </c>
      <c r="H121" s="15">
        <f t="shared" si="19"/>
        <v>0.3983602997</v>
      </c>
      <c r="I121" s="15">
        <f t="shared" si="19"/>
        <v>0.1349733702</v>
      </c>
      <c r="J121" s="15">
        <f t="shared" si="19"/>
        <v>0.7858346349</v>
      </c>
      <c r="K121" s="15">
        <f t="shared" si="19"/>
        <v>0.3719914368</v>
      </c>
      <c r="L121" s="15">
        <f t="shared" si="19"/>
        <v>1</v>
      </c>
      <c r="M121" s="15">
        <f t="shared" si="19"/>
        <v>0</v>
      </c>
      <c r="N121" s="15">
        <f t="shared" si="19"/>
        <v>0.1622550649</v>
      </c>
      <c r="O121" s="15">
        <f t="shared" si="19"/>
        <v>0.1509622375</v>
      </c>
      <c r="P121" s="15">
        <f t="shared" si="19"/>
        <v>0.9057843723</v>
      </c>
      <c r="Q121" s="15">
        <f t="shared" si="19"/>
        <v>0.2292031947</v>
      </c>
      <c r="R121" s="15">
        <f t="shared" si="19"/>
        <v>0.5706737379</v>
      </c>
      <c r="S121" s="15">
        <f t="shared" si="19"/>
        <v>0.2856900084</v>
      </c>
      <c r="T121" s="15">
        <f t="shared" si="19"/>
        <v>0.4625729682</v>
      </c>
      <c r="U121" s="15">
        <f t="shared" si="19"/>
        <v>0.97369771</v>
      </c>
      <c r="V121" s="15">
        <f t="shared" si="19"/>
        <v>0.3418174699</v>
      </c>
      <c r="W121" s="15">
        <f t="shared" si="19"/>
        <v>0.7032849775</v>
      </c>
      <c r="X121" s="15">
        <f t="shared" si="19"/>
        <v>0.49391284</v>
      </c>
      <c r="Y121" s="15">
        <f t="shared" si="19"/>
        <v>0.6092985969</v>
      </c>
      <c r="Z121" s="15">
        <f t="shared" si="19"/>
        <v>0.6350916798</v>
      </c>
      <c r="AA121" s="15">
        <f t="shared" si="5"/>
        <v>1.100748063</v>
      </c>
      <c r="AB121" s="15">
        <f t="shared" si="6"/>
        <v>-1.971554312</v>
      </c>
    </row>
    <row r="122">
      <c r="A122" s="11" t="str">
        <f>redflag_questions!A17</f>
        <v>Sie hat regelmäßig Kontakt zu einem Ihrer Exfreunde z.B emotionalen Kontakt.</v>
      </c>
      <c r="B122" s="15">
        <f t="shared" si="3"/>
        <v>4.396024394</v>
      </c>
      <c r="C122" s="15">
        <f t="shared" ref="C122:Z122" si="20">(C22-$AB122)/($AA122-$AB122)</f>
        <v>0.2524042705</v>
      </c>
      <c r="D122" s="15">
        <f t="shared" si="20"/>
        <v>0.62709571</v>
      </c>
      <c r="E122" s="15">
        <f t="shared" si="20"/>
        <v>0.2728635183</v>
      </c>
      <c r="F122" s="15">
        <f t="shared" si="20"/>
        <v>0.7727332374</v>
      </c>
      <c r="G122" s="15">
        <f t="shared" si="20"/>
        <v>0.03237658952</v>
      </c>
      <c r="H122" s="15">
        <f t="shared" si="20"/>
        <v>0.31958663</v>
      </c>
      <c r="I122" s="15">
        <f t="shared" si="20"/>
        <v>0.9079559794</v>
      </c>
      <c r="J122" s="15">
        <f t="shared" si="20"/>
        <v>1</v>
      </c>
      <c r="K122" s="15">
        <f t="shared" si="20"/>
        <v>0.1986597118</v>
      </c>
      <c r="L122" s="15">
        <f t="shared" si="20"/>
        <v>0.08054998936</v>
      </c>
      <c r="M122" s="15">
        <f t="shared" si="20"/>
        <v>0.1845688561</v>
      </c>
      <c r="N122" s="15">
        <f t="shared" si="20"/>
        <v>0.5565841502</v>
      </c>
      <c r="O122" s="15">
        <f t="shared" si="20"/>
        <v>0</v>
      </c>
      <c r="P122" s="15">
        <f t="shared" si="20"/>
        <v>0.4129503032</v>
      </c>
      <c r="Q122" s="15">
        <f t="shared" si="20"/>
        <v>0.6808271379</v>
      </c>
      <c r="R122" s="15">
        <f t="shared" si="20"/>
        <v>0.3022512574</v>
      </c>
      <c r="S122" s="15">
        <f t="shared" si="20"/>
        <v>0.5767078285</v>
      </c>
      <c r="T122" s="15">
        <f t="shared" si="20"/>
        <v>0.3749662166</v>
      </c>
      <c r="U122" s="15">
        <f t="shared" si="20"/>
        <v>0.5227055431</v>
      </c>
      <c r="V122" s="15">
        <f t="shared" si="20"/>
        <v>0.367442825</v>
      </c>
      <c r="W122" s="15">
        <f t="shared" si="20"/>
        <v>0.4593047748</v>
      </c>
      <c r="X122" s="15">
        <f t="shared" si="20"/>
        <v>0.4961517918</v>
      </c>
      <c r="Y122" s="15">
        <f t="shared" si="20"/>
        <v>0.3803460447</v>
      </c>
      <c r="Z122" s="15">
        <f t="shared" si="20"/>
        <v>0.7714261805</v>
      </c>
      <c r="AA122" s="15">
        <f t="shared" si="5"/>
        <v>1.676190503</v>
      </c>
      <c r="AB122" s="15">
        <f t="shared" si="6"/>
        <v>-1.886146199</v>
      </c>
    </row>
    <row r="123">
      <c r="A123" s="11" t="str">
        <f>redflag_questions!A18</f>
        <v>Einer ihrer Exfreunde war aus Ihrer Sicht besonders toxisch oder ein klassischer Badboy.</v>
      </c>
      <c r="B123" s="15">
        <f t="shared" si="3"/>
        <v>5.326211767</v>
      </c>
      <c r="C123" s="15">
        <f t="shared" ref="C123:Z123" si="21">(C23-$AB123)/($AA123-$AB123)</f>
        <v>1.23261412</v>
      </c>
      <c r="D123" s="15">
        <f t="shared" si="21"/>
        <v>1.028433306</v>
      </c>
      <c r="E123" s="15">
        <f t="shared" si="21"/>
        <v>0.3108598055</v>
      </c>
      <c r="F123" s="15">
        <f t="shared" si="21"/>
        <v>0.5932222485</v>
      </c>
      <c r="G123" s="15">
        <f t="shared" si="21"/>
        <v>0.5804673297</v>
      </c>
      <c r="H123" s="15">
        <f t="shared" si="21"/>
        <v>0</v>
      </c>
      <c r="I123" s="15">
        <f t="shared" si="21"/>
        <v>0.7463922853</v>
      </c>
      <c r="J123" s="15">
        <f t="shared" si="21"/>
        <v>0.5059997307</v>
      </c>
      <c r="K123" s="15">
        <f t="shared" si="21"/>
        <v>0.1251724639</v>
      </c>
      <c r="L123" s="15">
        <f t="shared" si="21"/>
        <v>0.3804206435</v>
      </c>
      <c r="M123" s="15">
        <f t="shared" si="21"/>
        <v>0.8729852384</v>
      </c>
      <c r="N123" s="15">
        <f t="shared" si="21"/>
        <v>1</v>
      </c>
      <c r="O123" s="15">
        <f t="shared" si="21"/>
        <v>0.3873727171</v>
      </c>
      <c r="P123" s="15">
        <f t="shared" si="21"/>
        <v>0.6375416152</v>
      </c>
      <c r="Q123" s="15">
        <f t="shared" si="21"/>
        <v>0.4655806071</v>
      </c>
      <c r="R123" s="15">
        <f t="shared" si="21"/>
        <v>0.499425905</v>
      </c>
      <c r="S123" s="15">
        <f t="shared" si="21"/>
        <v>0.1051238954</v>
      </c>
      <c r="T123" s="15">
        <f t="shared" si="21"/>
        <v>0.3344373821</v>
      </c>
      <c r="U123" s="15">
        <f t="shared" si="21"/>
        <v>0.4088190821</v>
      </c>
      <c r="V123" s="15">
        <f t="shared" si="21"/>
        <v>0.3396614057</v>
      </c>
      <c r="W123" s="15">
        <f t="shared" si="21"/>
        <v>0.6953766283</v>
      </c>
      <c r="X123" s="15">
        <f t="shared" si="21"/>
        <v>0.6238730062</v>
      </c>
      <c r="Y123" s="15">
        <f t="shared" si="21"/>
        <v>0.5968623095</v>
      </c>
      <c r="Z123" s="15">
        <f t="shared" si="21"/>
        <v>0.3122665166</v>
      </c>
      <c r="AA123" s="15">
        <f t="shared" si="5"/>
        <v>0.6198111596</v>
      </c>
      <c r="AB123" s="15">
        <f t="shared" si="6"/>
        <v>-2.235383756</v>
      </c>
    </row>
    <row r="124">
      <c r="A124" s="11" t="str">
        <f>redflag_questions!A19</f>
        <v>Sie stellt Ihre Karriere mit dir gleich oder über dich.</v>
      </c>
      <c r="B124" s="15">
        <f t="shared" si="3"/>
        <v>5.720684595</v>
      </c>
      <c r="C124" s="15">
        <f t="shared" ref="C124:Z124" si="22">(C24-$AB124)/($AA124-$AB124)</f>
        <v>0.4983027006</v>
      </c>
      <c r="D124" s="15">
        <f t="shared" si="22"/>
        <v>0.8752292109</v>
      </c>
      <c r="E124" s="15">
        <f t="shared" si="22"/>
        <v>0.2607670709</v>
      </c>
      <c r="F124" s="15">
        <f t="shared" si="22"/>
        <v>0.707156782</v>
      </c>
      <c r="G124" s="15">
        <f t="shared" si="22"/>
        <v>0</v>
      </c>
      <c r="H124" s="15">
        <f t="shared" si="22"/>
        <v>0.2874335056</v>
      </c>
      <c r="I124" s="15">
        <f t="shared" si="22"/>
        <v>0.5788744258</v>
      </c>
      <c r="J124" s="15">
        <f t="shared" si="22"/>
        <v>0.2981208094</v>
      </c>
      <c r="K124" s="15">
        <f t="shared" si="22"/>
        <v>0.3040923209</v>
      </c>
      <c r="L124" s="15">
        <f t="shared" si="22"/>
        <v>0.4266856729</v>
      </c>
      <c r="M124" s="15">
        <f t="shared" si="22"/>
        <v>0.4812939452</v>
      </c>
      <c r="N124" s="15">
        <f t="shared" si="22"/>
        <v>0.7641062581</v>
      </c>
      <c r="O124" s="15">
        <f t="shared" si="22"/>
        <v>0.8974320566</v>
      </c>
      <c r="P124" s="15">
        <f t="shared" si="22"/>
        <v>0.3947989728</v>
      </c>
      <c r="Q124" s="15">
        <f t="shared" si="22"/>
        <v>0.7434823863</v>
      </c>
      <c r="R124" s="15">
        <f t="shared" si="22"/>
        <v>0.2472704236</v>
      </c>
      <c r="S124" s="15">
        <f t="shared" si="22"/>
        <v>0.6486004268</v>
      </c>
      <c r="T124" s="15">
        <f t="shared" si="22"/>
        <v>0.2779878314</v>
      </c>
      <c r="U124" s="15">
        <f t="shared" si="22"/>
        <v>1</v>
      </c>
      <c r="V124" s="15">
        <f t="shared" si="22"/>
        <v>0.7220478701</v>
      </c>
      <c r="W124" s="15">
        <f t="shared" si="22"/>
        <v>0.8785899275</v>
      </c>
      <c r="X124" s="15">
        <f t="shared" si="22"/>
        <v>0.9184045202</v>
      </c>
      <c r="Y124" s="15">
        <f t="shared" si="22"/>
        <v>0.5800725147</v>
      </c>
      <c r="Z124" s="15">
        <f t="shared" si="22"/>
        <v>0.9388933956</v>
      </c>
      <c r="AA124" s="15">
        <f t="shared" si="5"/>
        <v>1.541955741</v>
      </c>
      <c r="AB124" s="15">
        <f t="shared" si="6"/>
        <v>-2.367196635</v>
      </c>
    </row>
    <row r="125">
      <c r="A125" s="11" t="str">
        <f>redflag_questions!A20</f>
        <v>Sie hat einen Überschuss an körperlich maskuliner Energie und ist eher dominant.</v>
      </c>
      <c r="B125" s="15">
        <f t="shared" si="3"/>
        <v>4.226367354</v>
      </c>
      <c r="C125" s="15">
        <f t="shared" ref="C125:Z125" si="23">(C25-$AB125)/($AA125-$AB125)</f>
        <v>0.3080437292</v>
      </c>
      <c r="D125" s="15">
        <f t="shared" si="23"/>
        <v>0.3923980057</v>
      </c>
      <c r="E125" s="15">
        <f t="shared" si="23"/>
        <v>0.4633591459</v>
      </c>
      <c r="F125" s="15">
        <f t="shared" si="23"/>
        <v>0.876338647</v>
      </c>
      <c r="G125" s="15">
        <f t="shared" si="23"/>
        <v>0.7991226381</v>
      </c>
      <c r="H125" s="15">
        <f t="shared" si="23"/>
        <v>0.5334594895</v>
      </c>
      <c r="I125" s="15">
        <f t="shared" si="23"/>
        <v>0.1333236678</v>
      </c>
      <c r="J125" s="15">
        <f t="shared" si="23"/>
        <v>0.1161352854</v>
      </c>
      <c r="K125" s="15">
        <f t="shared" si="23"/>
        <v>1</v>
      </c>
      <c r="L125" s="15">
        <f t="shared" si="23"/>
        <v>0.2583109929</v>
      </c>
      <c r="M125" s="15">
        <f t="shared" si="23"/>
        <v>0.3478392698</v>
      </c>
      <c r="N125" s="15">
        <f t="shared" si="23"/>
        <v>0.1590214772</v>
      </c>
      <c r="O125" s="15">
        <f t="shared" si="23"/>
        <v>0.7284463954</v>
      </c>
      <c r="P125" s="15">
        <f t="shared" si="23"/>
        <v>0.3580580528</v>
      </c>
      <c r="Q125" s="15">
        <f t="shared" si="23"/>
        <v>0.2220828192</v>
      </c>
      <c r="R125" s="15">
        <f t="shared" si="23"/>
        <v>0</v>
      </c>
      <c r="S125" s="15">
        <f t="shared" si="23"/>
        <v>0.5332586331</v>
      </c>
      <c r="T125" s="15">
        <f t="shared" si="23"/>
        <v>0.665749655</v>
      </c>
      <c r="U125" s="15">
        <f t="shared" si="23"/>
        <v>0.4432164205</v>
      </c>
      <c r="V125" s="15">
        <f t="shared" si="23"/>
        <v>0.222631176</v>
      </c>
      <c r="W125" s="15">
        <f t="shared" si="23"/>
        <v>0.9378886732</v>
      </c>
      <c r="X125" s="15">
        <f t="shared" si="23"/>
        <v>0.2657511923</v>
      </c>
      <c r="Y125" s="15">
        <f t="shared" si="23"/>
        <v>0.3154482136</v>
      </c>
      <c r="Z125" s="15">
        <f t="shared" si="23"/>
        <v>0.06339806907</v>
      </c>
      <c r="AA125" s="15">
        <f t="shared" si="5"/>
        <v>1.269931535</v>
      </c>
      <c r="AB125" s="15">
        <f t="shared" si="6"/>
        <v>-1.991732291</v>
      </c>
    </row>
    <row r="126">
      <c r="A126" s="11" t="str">
        <f>redflag_questions!A21</f>
        <v>Sie empfindet eine starke Eifersucht.</v>
      </c>
      <c r="B126" s="15">
        <f t="shared" si="3"/>
        <v>6.169782815</v>
      </c>
      <c r="C126" s="15">
        <f t="shared" ref="C126:Z126" si="24">(C26-$AB126)/($AA126-$AB126)</f>
        <v>0.3054197725</v>
      </c>
      <c r="D126" s="15">
        <f t="shared" si="24"/>
        <v>0.2824256789</v>
      </c>
      <c r="E126" s="15">
        <f t="shared" si="24"/>
        <v>0.7100600531</v>
      </c>
      <c r="F126" s="15">
        <f t="shared" si="24"/>
        <v>0.5748221453</v>
      </c>
      <c r="G126" s="15">
        <f t="shared" si="24"/>
        <v>0.7771292215</v>
      </c>
      <c r="H126" s="15">
        <f t="shared" si="24"/>
        <v>0.5219445349</v>
      </c>
      <c r="I126" s="15">
        <f t="shared" si="24"/>
        <v>0.8505672846</v>
      </c>
      <c r="J126" s="15">
        <f t="shared" si="24"/>
        <v>0</v>
      </c>
      <c r="K126" s="15">
        <f t="shared" si="24"/>
        <v>0.6610631432</v>
      </c>
      <c r="L126" s="15">
        <f t="shared" si="24"/>
        <v>0.3901707124</v>
      </c>
      <c r="M126" s="15">
        <f t="shared" si="24"/>
        <v>1</v>
      </c>
      <c r="N126" s="15">
        <f t="shared" si="24"/>
        <v>0.4704494399</v>
      </c>
      <c r="O126" s="15">
        <f t="shared" si="24"/>
        <v>0.9321138086</v>
      </c>
      <c r="P126" s="15">
        <f t="shared" si="24"/>
        <v>0.9554017023</v>
      </c>
      <c r="Q126" s="15">
        <f t="shared" si="24"/>
        <v>0.8612866663</v>
      </c>
      <c r="R126" s="15">
        <f t="shared" si="24"/>
        <v>0.5318087084</v>
      </c>
      <c r="S126" s="15">
        <f t="shared" si="24"/>
        <v>0.645648339</v>
      </c>
      <c r="T126" s="15">
        <f t="shared" si="24"/>
        <v>0.4340001541</v>
      </c>
      <c r="U126" s="15">
        <f t="shared" si="24"/>
        <v>0.7427276225</v>
      </c>
      <c r="V126" s="15">
        <f t="shared" si="24"/>
        <v>0.8315697375</v>
      </c>
      <c r="W126" s="15">
        <f t="shared" si="24"/>
        <v>0.3931662532</v>
      </c>
      <c r="X126" s="15">
        <f t="shared" si="24"/>
        <v>0.264795366</v>
      </c>
      <c r="Y126" s="15">
        <f t="shared" si="24"/>
        <v>0.8209800267</v>
      </c>
      <c r="Z126" s="15">
        <f t="shared" si="24"/>
        <v>0.8499283851</v>
      </c>
      <c r="AA126" s="15">
        <f t="shared" si="5"/>
        <v>1.371516043</v>
      </c>
      <c r="AB126" s="15">
        <f t="shared" si="6"/>
        <v>-2.024079098</v>
      </c>
    </row>
    <row r="127">
      <c r="A127" s="11" t="str">
        <f>redflag_questions!A22</f>
        <v>Sie stellt Kleinigkeiten viel bedeutungsvoller dar als sie sind um häufig damit im Zentrum der Aufmerksamkeit zu stehen.</v>
      </c>
      <c r="B127" s="15">
        <f t="shared" si="3"/>
        <v>4.982983977</v>
      </c>
      <c r="C127" s="15">
        <f t="shared" ref="C127:Z127" si="25">(C27-$AB127)/($AA127-$AB127)</f>
        <v>1.029268777</v>
      </c>
      <c r="D127" s="15">
        <f t="shared" si="25"/>
        <v>0.7622068557</v>
      </c>
      <c r="E127" s="15">
        <f t="shared" si="25"/>
        <v>0.4196845407</v>
      </c>
      <c r="F127" s="15">
        <f t="shared" si="25"/>
        <v>0.4079987334</v>
      </c>
      <c r="G127" s="15">
        <f t="shared" si="25"/>
        <v>0.1762818036</v>
      </c>
      <c r="H127" s="15">
        <f t="shared" si="25"/>
        <v>0.5529205038</v>
      </c>
      <c r="I127" s="15">
        <f t="shared" si="25"/>
        <v>0.6151168343</v>
      </c>
      <c r="J127" s="15">
        <f t="shared" si="25"/>
        <v>0.07888058531</v>
      </c>
      <c r="K127" s="15">
        <f t="shared" si="25"/>
        <v>0.221689479</v>
      </c>
      <c r="L127" s="15">
        <f t="shared" si="25"/>
        <v>0.3269101944</v>
      </c>
      <c r="M127" s="15">
        <f t="shared" si="25"/>
        <v>0.3887231293</v>
      </c>
      <c r="N127" s="15">
        <f t="shared" si="25"/>
        <v>0.9647033571</v>
      </c>
      <c r="O127" s="15">
        <f t="shared" si="25"/>
        <v>0.7904326159</v>
      </c>
      <c r="P127" s="15">
        <f t="shared" si="25"/>
        <v>1</v>
      </c>
      <c r="Q127" s="15">
        <f t="shared" si="25"/>
        <v>0.6880840521</v>
      </c>
      <c r="R127" s="15">
        <f t="shared" si="25"/>
        <v>0.07028223323</v>
      </c>
      <c r="S127" s="15">
        <f t="shared" si="25"/>
        <v>0.5181706951</v>
      </c>
      <c r="T127" s="15">
        <f t="shared" si="25"/>
        <v>0.8578744074</v>
      </c>
      <c r="U127" s="15">
        <f t="shared" si="25"/>
        <v>0.1909076242</v>
      </c>
      <c r="V127" s="15">
        <f t="shared" si="25"/>
        <v>0.6496994043</v>
      </c>
      <c r="W127" s="15">
        <f t="shared" si="25"/>
        <v>0.5277305901</v>
      </c>
      <c r="X127" s="15">
        <f t="shared" si="25"/>
        <v>0.6940213879</v>
      </c>
      <c r="Y127" s="15">
        <f t="shared" si="25"/>
        <v>0</v>
      </c>
      <c r="Z127" s="15">
        <f t="shared" si="25"/>
        <v>0.02757374018</v>
      </c>
      <c r="AA127" s="15">
        <f t="shared" si="5"/>
        <v>1.22007828</v>
      </c>
      <c r="AB127" s="15">
        <f t="shared" si="6"/>
        <v>-0.9628462635</v>
      </c>
    </row>
    <row r="128">
      <c r="A128" s="11" t="str">
        <f>redflag_questions!A23</f>
        <v>Sie nörgelt häufig rum und gibt sich mit nichts zufrieden.</v>
      </c>
      <c r="B128" s="15">
        <f t="shared" si="3"/>
        <v>6.40490904</v>
      </c>
      <c r="C128" s="15">
        <f t="shared" ref="C128:Z128" si="26">(C28-$AB128)/($AA128-$AB128)</f>
        <v>0.2763319518</v>
      </c>
      <c r="D128" s="15">
        <f t="shared" si="26"/>
        <v>0.6862550238</v>
      </c>
      <c r="E128" s="15">
        <f t="shared" si="26"/>
        <v>0.8887600765</v>
      </c>
      <c r="F128" s="15">
        <f t="shared" si="26"/>
        <v>0.4033211504</v>
      </c>
      <c r="G128" s="15">
        <f t="shared" si="26"/>
        <v>0</v>
      </c>
      <c r="H128" s="15">
        <f t="shared" si="26"/>
        <v>0.5190815615</v>
      </c>
      <c r="I128" s="15">
        <f t="shared" si="26"/>
        <v>0.9231176903</v>
      </c>
      <c r="J128" s="15">
        <f t="shared" si="26"/>
        <v>0.5917644487</v>
      </c>
      <c r="K128" s="15">
        <f t="shared" si="26"/>
        <v>0.766453437</v>
      </c>
      <c r="L128" s="15">
        <f t="shared" si="26"/>
        <v>0.667872208</v>
      </c>
      <c r="M128" s="15">
        <f t="shared" si="26"/>
        <v>0.9316134072</v>
      </c>
      <c r="N128" s="15">
        <f t="shared" si="26"/>
        <v>0.6565485693</v>
      </c>
      <c r="O128" s="15">
        <f t="shared" si="26"/>
        <v>0.7088011574</v>
      </c>
      <c r="P128" s="15">
        <f t="shared" si="26"/>
        <v>0.7266144527</v>
      </c>
      <c r="Q128" s="15">
        <f t="shared" si="26"/>
        <v>0.7592592281</v>
      </c>
      <c r="R128" s="15">
        <f t="shared" si="26"/>
        <v>0.7825073384</v>
      </c>
      <c r="S128" s="15">
        <f t="shared" si="26"/>
        <v>0.3373799041</v>
      </c>
      <c r="T128" s="15">
        <f t="shared" si="26"/>
        <v>0.4955095696</v>
      </c>
      <c r="U128" s="15">
        <f t="shared" si="26"/>
        <v>0.6119471701</v>
      </c>
      <c r="V128" s="15">
        <f t="shared" si="26"/>
        <v>0.8482841844</v>
      </c>
      <c r="W128" s="15">
        <f t="shared" si="26"/>
        <v>0.8203108377</v>
      </c>
      <c r="X128" s="15">
        <f t="shared" si="26"/>
        <v>1</v>
      </c>
      <c r="Y128" s="15">
        <f t="shared" si="26"/>
        <v>0.7091773968</v>
      </c>
      <c r="Z128" s="15">
        <f t="shared" si="26"/>
        <v>0.2608709333</v>
      </c>
      <c r="AA128" s="15">
        <f t="shared" si="5"/>
        <v>1.558404837</v>
      </c>
      <c r="AB128" s="15">
        <f t="shared" si="6"/>
        <v>-1.174423137</v>
      </c>
    </row>
    <row r="129">
      <c r="A129" s="11" t="str">
        <f>redflag_questions!A24</f>
        <v>Sie ist stark tätoviert oder gepierct. (mehr als 4 Tatoos)</v>
      </c>
      <c r="B129" s="15">
        <f t="shared" si="3"/>
        <v>6.27923547</v>
      </c>
      <c r="C129" s="15">
        <f t="shared" ref="C129:Z129" si="27">(C29-$AB129)/($AA129-$AB129)</f>
        <v>1.013719195</v>
      </c>
      <c r="D129" s="15">
        <f t="shared" si="27"/>
        <v>0.8471777276</v>
      </c>
      <c r="E129" s="15">
        <f t="shared" si="27"/>
        <v>0.7574769122</v>
      </c>
      <c r="F129" s="15">
        <f t="shared" si="27"/>
        <v>0.8944843012</v>
      </c>
      <c r="G129" s="15">
        <f t="shared" si="27"/>
        <v>0.8225363817</v>
      </c>
      <c r="H129" s="15">
        <f t="shared" si="27"/>
        <v>1</v>
      </c>
      <c r="I129" s="15">
        <f t="shared" si="27"/>
        <v>0.2021617804</v>
      </c>
      <c r="J129" s="15">
        <f t="shared" si="27"/>
        <v>0.3035986588</v>
      </c>
      <c r="K129" s="15">
        <f t="shared" si="27"/>
        <v>0.9097886011</v>
      </c>
      <c r="L129" s="15">
        <f t="shared" si="27"/>
        <v>0.9613773868</v>
      </c>
      <c r="M129" s="15">
        <f t="shared" si="27"/>
        <v>0.7203854565</v>
      </c>
      <c r="N129" s="15">
        <f t="shared" si="27"/>
        <v>0.5250461283</v>
      </c>
      <c r="O129" s="15">
        <f t="shared" si="27"/>
        <v>0</v>
      </c>
      <c r="P129" s="15">
        <f t="shared" si="27"/>
        <v>0.4115635829</v>
      </c>
      <c r="Q129" s="15">
        <f t="shared" si="27"/>
        <v>0.07842971509</v>
      </c>
      <c r="R129" s="15">
        <f t="shared" si="27"/>
        <v>0.2468117087</v>
      </c>
      <c r="S129" s="15">
        <f t="shared" si="27"/>
        <v>0.9353637184</v>
      </c>
      <c r="T129" s="15">
        <f t="shared" si="27"/>
        <v>0.6982628173</v>
      </c>
      <c r="U129" s="15">
        <f t="shared" si="27"/>
        <v>0.3417851806</v>
      </c>
      <c r="V129" s="15">
        <f t="shared" si="27"/>
        <v>0.187048026</v>
      </c>
      <c r="W129" s="15">
        <f t="shared" si="27"/>
        <v>0.9518350553</v>
      </c>
      <c r="X129" s="15">
        <f t="shared" si="27"/>
        <v>0.9962978308</v>
      </c>
      <c r="Y129" s="15">
        <f t="shared" si="27"/>
        <v>0.371860815</v>
      </c>
      <c r="Z129" s="15">
        <f t="shared" si="27"/>
        <v>0.8931541496</v>
      </c>
      <c r="AA129" s="15">
        <f t="shared" si="5"/>
        <v>1.235945968</v>
      </c>
      <c r="AB129" s="15">
        <f t="shared" si="6"/>
        <v>-2.264539727</v>
      </c>
    </row>
    <row r="130">
      <c r="A130" s="11" t="str">
        <f>redflag_questions!A25</f>
        <v>Sie hat eher oberflächliche Schönheits Operationen über sich ergehen lassen besonders im Gesicht.</v>
      </c>
      <c r="B130" s="15">
        <f t="shared" si="3"/>
        <v>5.559638868</v>
      </c>
      <c r="C130" s="15">
        <f t="shared" ref="C130:Z130" si="28">(C30-$AB130)/($AA130-$AB130)</f>
        <v>-0.0417905863</v>
      </c>
      <c r="D130" s="15">
        <f t="shared" si="28"/>
        <v>0.2509982853</v>
      </c>
      <c r="E130" s="15">
        <f t="shared" si="28"/>
        <v>0.292798553</v>
      </c>
      <c r="F130" s="15">
        <f t="shared" si="28"/>
        <v>0.9158392796</v>
      </c>
      <c r="G130" s="15">
        <f t="shared" si="28"/>
        <v>0.5509923</v>
      </c>
      <c r="H130" s="15">
        <f t="shared" si="28"/>
        <v>0.8881369947</v>
      </c>
      <c r="I130" s="15">
        <f t="shared" si="28"/>
        <v>0.6511052005</v>
      </c>
      <c r="J130" s="15">
        <f t="shared" si="28"/>
        <v>0.5546683076</v>
      </c>
      <c r="K130" s="15">
        <f t="shared" si="28"/>
        <v>0.1227557836</v>
      </c>
      <c r="L130" s="15">
        <f t="shared" si="28"/>
        <v>0.8507015308</v>
      </c>
      <c r="M130" s="15">
        <f t="shared" si="28"/>
        <v>0</v>
      </c>
      <c r="N130" s="15">
        <f t="shared" si="28"/>
        <v>0.4277818541</v>
      </c>
      <c r="O130" s="15">
        <f t="shared" si="28"/>
        <v>0.6522979469</v>
      </c>
      <c r="P130" s="15">
        <f t="shared" si="28"/>
        <v>0.4309786175</v>
      </c>
      <c r="Q130" s="15">
        <f t="shared" si="28"/>
        <v>0.8952997317</v>
      </c>
      <c r="R130" s="15">
        <f t="shared" si="28"/>
        <v>0.4854730224</v>
      </c>
      <c r="S130" s="15">
        <f t="shared" si="28"/>
        <v>0.7089973443</v>
      </c>
      <c r="T130" s="15">
        <f t="shared" si="28"/>
        <v>1</v>
      </c>
      <c r="U130" s="15">
        <f t="shared" si="28"/>
        <v>0.8283261324</v>
      </c>
      <c r="V130" s="15">
        <f t="shared" si="28"/>
        <v>0.6720082306</v>
      </c>
      <c r="W130" s="15">
        <f t="shared" si="28"/>
        <v>0.8414525034</v>
      </c>
      <c r="X130" s="15">
        <f t="shared" si="28"/>
        <v>0.7916733775</v>
      </c>
      <c r="Y130" s="15">
        <f t="shared" si="28"/>
        <v>0.3988181353</v>
      </c>
      <c r="Z130" s="15">
        <f t="shared" si="28"/>
        <v>0.1738207376</v>
      </c>
      <c r="AA130" s="15">
        <f t="shared" si="5"/>
        <v>1.639938396</v>
      </c>
      <c r="AB130" s="15">
        <f t="shared" si="6"/>
        <v>-1.971554312</v>
      </c>
    </row>
    <row r="131">
      <c r="A131" s="11" t="str">
        <f>redflag_questions!A26</f>
        <v>Sie benutzt übermäßg häufig und starke MakeUps oder Cremes.</v>
      </c>
      <c r="B131" s="15">
        <f t="shared" si="3"/>
        <v>5.729108948</v>
      </c>
      <c r="C131" s="15">
        <f t="shared" ref="C131:Z131" si="29">(C31-$AB131)/($AA131-$AB131)</f>
        <v>0.5414974641</v>
      </c>
      <c r="D131" s="15">
        <f t="shared" si="29"/>
        <v>-0.1573313927</v>
      </c>
      <c r="E131" s="15">
        <f t="shared" si="29"/>
        <v>0.6148205886</v>
      </c>
      <c r="F131" s="15">
        <f t="shared" si="29"/>
        <v>0.7622569933</v>
      </c>
      <c r="G131" s="15">
        <f t="shared" si="29"/>
        <v>0.6848323913</v>
      </c>
      <c r="H131" s="15">
        <f t="shared" si="29"/>
        <v>0.7233535628</v>
      </c>
      <c r="I131" s="15">
        <f t="shared" si="29"/>
        <v>0.7614925214</v>
      </c>
      <c r="J131" s="15">
        <f t="shared" si="29"/>
        <v>0</v>
      </c>
      <c r="K131" s="15">
        <f t="shared" si="29"/>
        <v>0.5636739579</v>
      </c>
      <c r="L131" s="15">
        <f t="shared" si="29"/>
        <v>0.834241987</v>
      </c>
      <c r="M131" s="15">
        <f t="shared" si="29"/>
        <v>0.003946040109</v>
      </c>
      <c r="N131" s="15">
        <f t="shared" si="29"/>
        <v>0.2038495983</v>
      </c>
      <c r="O131" s="15">
        <f t="shared" si="29"/>
        <v>0.497639399</v>
      </c>
      <c r="P131" s="15">
        <f t="shared" si="29"/>
        <v>0.8709265093</v>
      </c>
      <c r="Q131" s="15">
        <f t="shared" si="29"/>
        <v>0.7726822119</v>
      </c>
      <c r="R131" s="15">
        <f t="shared" si="29"/>
        <v>0.428748534</v>
      </c>
      <c r="S131" s="15">
        <f t="shared" si="29"/>
        <v>0.8062481557</v>
      </c>
      <c r="T131" s="15">
        <f t="shared" si="29"/>
        <v>1</v>
      </c>
      <c r="U131" s="15">
        <f t="shared" si="29"/>
        <v>0.4884430775</v>
      </c>
      <c r="V131" s="15">
        <f t="shared" si="29"/>
        <v>0.6358484836</v>
      </c>
      <c r="W131" s="15">
        <f t="shared" si="29"/>
        <v>0.8239732923</v>
      </c>
      <c r="X131" s="15">
        <f t="shared" si="29"/>
        <v>0.6655918656</v>
      </c>
      <c r="Y131" s="15">
        <f t="shared" si="29"/>
        <v>0.5979181896</v>
      </c>
      <c r="Z131" s="15">
        <f t="shared" si="29"/>
        <v>0.6252080451</v>
      </c>
      <c r="AA131" s="15">
        <f t="shared" si="5"/>
        <v>1.639938396</v>
      </c>
      <c r="AB131" s="15">
        <f t="shared" si="6"/>
        <v>-1.612938031</v>
      </c>
    </row>
    <row r="132">
      <c r="A132" s="11" t="str">
        <f>redflag_questions!A27</f>
        <v>Sie hat kurze Haare kürzer als 10cm.</v>
      </c>
      <c r="B132" s="15">
        <f t="shared" si="3"/>
        <v>3.75488716</v>
      </c>
      <c r="C132" s="15">
        <f t="shared" ref="C132:Z132" si="30">(C32-$AB132)/($AA132-$AB132)</f>
        <v>0.3008160966</v>
      </c>
      <c r="D132" s="15">
        <f t="shared" si="30"/>
        <v>0.383191168</v>
      </c>
      <c r="E132" s="15">
        <f t="shared" si="30"/>
        <v>0.7121878983</v>
      </c>
      <c r="F132" s="15">
        <f t="shared" si="30"/>
        <v>0.1530848349</v>
      </c>
      <c r="G132" s="15">
        <f t="shared" si="30"/>
        <v>0.2447010683</v>
      </c>
      <c r="H132" s="15">
        <f t="shared" si="30"/>
        <v>0.2239970308</v>
      </c>
      <c r="I132" s="15">
        <f t="shared" si="30"/>
        <v>1</v>
      </c>
      <c r="J132" s="15">
        <f t="shared" si="30"/>
        <v>0.8519803138</v>
      </c>
      <c r="K132" s="15">
        <f t="shared" si="30"/>
        <v>0.8718166228</v>
      </c>
      <c r="L132" s="15">
        <f t="shared" si="30"/>
        <v>0.1175235425</v>
      </c>
      <c r="M132" s="15">
        <f t="shared" si="30"/>
        <v>0.6733145735</v>
      </c>
      <c r="N132" s="15">
        <f t="shared" si="30"/>
        <v>0.155290355</v>
      </c>
      <c r="O132" s="15">
        <f t="shared" si="30"/>
        <v>0.9379356992</v>
      </c>
      <c r="P132" s="15">
        <f t="shared" si="30"/>
        <v>0.2272661192</v>
      </c>
      <c r="Q132" s="15">
        <f t="shared" si="30"/>
        <v>0.2168720882</v>
      </c>
      <c r="R132" s="15">
        <f t="shared" si="30"/>
        <v>0</v>
      </c>
      <c r="S132" s="15">
        <f t="shared" si="30"/>
        <v>0.01691533584</v>
      </c>
      <c r="T132" s="15">
        <f t="shared" si="30"/>
        <v>0.2129418701</v>
      </c>
      <c r="U132" s="15">
        <f t="shared" si="30"/>
        <v>0.2765263852</v>
      </c>
      <c r="V132" s="15">
        <f t="shared" si="30"/>
        <v>0.1143556761</v>
      </c>
      <c r="W132" s="15">
        <f t="shared" si="30"/>
        <v>0.3900223115</v>
      </c>
      <c r="X132" s="15">
        <f t="shared" si="30"/>
        <v>0.1590921734</v>
      </c>
      <c r="Y132" s="15">
        <f t="shared" si="30"/>
        <v>0.04959371628</v>
      </c>
      <c r="Z132" s="15">
        <f t="shared" si="30"/>
        <v>0.7223043051</v>
      </c>
      <c r="AA132" s="15">
        <f t="shared" si="5"/>
        <v>1.34829871</v>
      </c>
      <c r="AB132" s="15">
        <f t="shared" si="6"/>
        <v>-1.991732291</v>
      </c>
    </row>
    <row r="133">
      <c r="A133" s="11" t="str">
        <f>redflag_questions!A28</f>
        <v>Sie ist selbst verschuldet stark übergewichtig.</v>
      </c>
      <c r="B133" s="15">
        <f t="shared" si="3"/>
        <v>6.297915563</v>
      </c>
      <c r="C133" s="15">
        <f t="shared" ref="C133:Z133" si="31">(C33-$AB133)/($AA133-$AB133)</f>
        <v>0.2171703105</v>
      </c>
      <c r="D133" s="15">
        <f t="shared" si="31"/>
        <v>0.1055447655</v>
      </c>
      <c r="E133" s="15">
        <f t="shared" si="31"/>
        <v>0.7972818084</v>
      </c>
      <c r="F133" s="15">
        <f t="shared" si="31"/>
        <v>0.5754197422</v>
      </c>
      <c r="G133" s="15">
        <f t="shared" si="31"/>
        <v>0.6317252627</v>
      </c>
      <c r="H133" s="15">
        <f t="shared" si="31"/>
        <v>0.792504242</v>
      </c>
      <c r="I133" s="15">
        <f t="shared" si="31"/>
        <v>0.8215829634</v>
      </c>
      <c r="J133" s="15">
        <f t="shared" si="31"/>
        <v>0.6936266835</v>
      </c>
      <c r="K133" s="15">
        <f t="shared" si="31"/>
        <v>0.801300261</v>
      </c>
      <c r="L133" s="15">
        <f t="shared" si="31"/>
        <v>0.7575128202</v>
      </c>
      <c r="M133" s="15">
        <f t="shared" si="31"/>
        <v>0.8275919877</v>
      </c>
      <c r="N133" s="15">
        <f t="shared" si="31"/>
        <v>0.2267870764</v>
      </c>
      <c r="O133" s="15">
        <f t="shared" si="31"/>
        <v>0.767931201</v>
      </c>
      <c r="P133" s="15">
        <f t="shared" si="31"/>
        <v>1</v>
      </c>
      <c r="Q133" s="15">
        <f t="shared" si="31"/>
        <v>0.7991993468</v>
      </c>
      <c r="R133" s="15">
        <f t="shared" si="31"/>
        <v>0.5691290588</v>
      </c>
      <c r="S133" s="15">
        <f t="shared" si="31"/>
        <v>0.8428297217</v>
      </c>
      <c r="T133" s="15">
        <f t="shared" si="31"/>
        <v>0.7080998119</v>
      </c>
      <c r="U133" s="15">
        <f t="shared" si="31"/>
        <v>0.8717045601</v>
      </c>
      <c r="V133" s="15">
        <f t="shared" si="31"/>
        <v>0.5904858358</v>
      </c>
      <c r="W133" s="15">
        <f t="shared" si="31"/>
        <v>0.7488676323</v>
      </c>
      <c r="X133" s="15">
        <f t="shared" si="31"/>
        <v>0.6155267132</v>
      </c>
      <c r="Y133" s="15">
        <f t="shared" si="31"/>
        <v>0</v>
      </c>
      <c r="Z133" s="15">
        <f t="shared" si="31"/>
        <v>0.3531755468</v>
      </c>
      <c r="AA133" s="15">
        <f t="shared" si="5"/>
        <v>2.03765651</v>
      </c>
      <c r="AB133" s="15">
        <f t="shared" si="6"/>
        <v>-1.826087741</v>
      </c>
    </row>
    <row r="134">
      <c r="A134" s="11" t="str">
        <f>redflag_questions!A29</f>
        <v>Sie verletzt sich körperlich selbst.</v>
      </c>
      <c r="B134" s="15">
        <f t="shared" si="3"/>
        <v>7.162725964</v>
      </c>
      <c r="C134" s="15">
        <f t="shared" ref="C134:Z134" si="32">(C34-$AB134)/($AA134-$AB134)</f>
        <v>0.6344699199</v>
      </c>
      <c r="D134" s="15">
        <f t="shared" si="32"/>
        <v>0.7546467274</v>
      </c>
      <c r="E134" s="15">
        <f t="shared" si="32"/>
        <v>0.2089762478</v>
      </c>
      <c r="F134" s="15">
        <f t="shared" si="32"/>
        <v>0.8548421193</v>
      </c>
      <c r="G134" s="15">
        <f t="shared" si="32"/>
        <v>0.8104420426</v>
      </c>
      <c r="H134" s="15">
        <f t="shared" si="32"/>
        <v>0.8192681409</v>
      </c>
      <c r="I134" s="15">
        <f t="shared" si="32"/>
        <v>0.8592178648</v>
      </c>
      <c r="J134" s="15">
        <f t="shared" si="32"/>
        <v>0.9758076896</v>
      </c>
      <c r="K134" s="15">
        <f t="shared" si="32"/>
        <v>0.8313525281</v>
      </c>
      <c r="L134" s="15">
        <f t="shared" si="32"/>
        <v>0.7711952693</v>
      </c>
      <c r="M134" s="15">
        <f t="shared" si="32"/>
        <v>0.6033157492</v>
      </c>
      <c r="N134" s="15">
        <f t="shared" si="32"/>
        <v>0.7862290518</v>
      </c>
      <c r="O134" s="15">
        <f t="shared" si="32"/>
        <v>0.785508534</v>
      </c>
      <c r="P134" s="15">
        <f t="shared" si="32"/>
        <v>0.8136260025</v>
      </c>
      <c r="Q134" s="15">
        <f t="shared" si="32"/>
        <v>0.8284661928</v>
      </c>
      <c r="R134" s="15">
        <f t="shared" si="32"/>
        <v>0.5123847409</v>
      </c>
      <c r="S134" s="15">
        <f t="shared" si="32"/>
        <v>0.888407667</v>
      </c>
      <c r="T134" s="15">
        <f t="shared" si="32"/>
        <v>0.4437012995</v>
      </c>
      <c r="U134" s="15">
        <f t="shared" si="32"/>
        <v>0</v>
      </c>
      <c r="V134" s="15">
        <f t="shared" si="32"/>
        <v>0.6641130661</v>
      </c>
      <c r="W134" s="15">
        <f t="shared" si="32"/>
        <v>0.7593181009</v>
      </c>
      <c r="X134" s="15">
        <f t="shared" si="32"/>
        <v>0.933926159</v>
      </c>
      <c r="Y134" s="15">
        <f t="shared" si="32"/>
        <v>0.6513272013</v>
      </c>
      <c r="Z134" s="15">
        <f t="shared" si="32"/>
        <v>1</v>
      </c>
      <c r="AA134" s="15">
        <f t="shared" si="5"/>
        <v>1.74422783</v>
      </c>
      <c r="AB134" s="15">
        <f t="shared" si="6"/>
        <v>-1.068125592</v>
      </c>
    </row>
    <row r="135">
      <c r="A135" s="11" t="str">
        <f>redflag_questions!A30</f>
        <v>Sie redet ohne Grund von selbst bei den Treffen häufig über Ihren Exfreund.</v>
      </c>
      <c r="B135" s="15">
        <f t="shared" si="3"/>
        <v>5.872205393</v>
      </c>
      <c r="C135" s="15">
        <f t="shared" ref="C135:Z135" si="33">(C35-$AB135)/($AA135-$AB135)</f>
        <v>0.9696750038</v>
      </c>
      <c r="D135" s="15">
        <f t="shared" si="33"/>
        <v>0.4239531092</v>
      </c>
      <c r="E135" s="15">
        <f t="shared" si="33"/>
        <v>0.6996274964</v>
      </c>
      <c r="F135" s="15">
        <f t="shared" si="33"/>
        <v>1</v>
      </c>
      <c r="G135" s="15">
        <f t="shared" si="33"/>
        <v>0.5795672711</v>
      </c>
      <c r="H135" s="15">
        <f t="shared" si="33"/>
        <v>0.6526095739</v>
      </c>
      <c r="I135" s="15">
        <f t="shared" si="33"/>
        <v>0.7249271399</v>
      </c>
      <c r="J135" s="15">
        <f t="shared" si="33"/>
        <v>0</v>
      </c>
      <c r="K135" s="15">
        <f t="shared" si="33"/>
        <v>0.7576050611</v>
      </c>
      <c r="L135" s="15">
        <f t="shared" si="33"/>
        <v>0.8628717631</v>
      </c>
      <c r="M135" s="15">
        <f t="shared" si="33"/>
        <v>0.1546025552</v>
      </c>
      <c r="N135" s="15">
        <f t="shared" si="33"/>
        <v>0.2775323372</v>
      </c>
      <c r="O135" s="15">
        <f t="shared" si="33"/>
        <v>0.8863365171</v>
      </c>
      <c r="P135" s="15">
        <f t="shared" si="33"/>
        <v>0.4558504865</v>
      </c>
      <c r="Q135" s="15">
        <f t="shared" si="33"/>
        <v>0.9567600657</v>
      </c>
      <c r="R135" s="15">
        <f t="shared" si="33"/>
        <v>0.7831791571</v>
      </c>
      <c r="S135" s="15">
        <f t="shared" si="33"/>
        <v>0.8097909812</v>
      </c>
      <c r="T135" s="15">
        <f t="shared" si="33"/>
        <v>0.3259875811</v>
      </c>
      <c r="U135" s="15">
        <f t="shared" si="33"/>
        <v>0.2071817194</v>
      </c>
      <c r="V135" s="15">
        <f t="shared" si="33"/>
        <v>0.6873242833</v>
      </c>
      <c r="W135" s="15">
        <f t="shared" si="33"/>
        <v>0.5874427372</v>
      </c>
      <c r="X135" s="15">
        <f t="shared" si="33"/>
        <v>0.1520415301</v>
      </c>
      <c r="Y135" s="15">
        <f t="shared" si="33"/>
        <v>0.4147640427</v>
      </c>
      <c r="Z135" s="15">
        <f t="shared" si="33"/>
        <v>0.7236625321</v>
      </c>
      <c r="AA135" s="15">
        <f t="shared" si="5"/>
        <v>1.335992568</v>
      </c>
      <c r="AB135" s="15">
        <f t="shared" si="6"/>
        <v>-0.3795148309</v>
      </c>
    </row>
    <row r="136">
      <c r="A136" s="11" t="str">
        <f>redflag_questions!A31</f>
        <v>Sie ist Drogen oder Medikamenten Abhängig z.B. trinkt sehr häufig Alkohol Schlaftabletten Antidepressiva etc.</v>
      </c>
      <c r="B136" s="15">
        <f t="shared" si="3"/>
        <v>5.860945108</v>
      </c>
      <c r="C136" s="15">
        <f t="shared" ref="C136:Z136" si="34">(C36-$AB136)/($AA136-$AB136)</f>
        <v>0.1935949273</v>
      </c>
      <c r="D136" s="15">
        <f t="shared" si="34"/>
        <v>0.6716837745</v>
      </c>
      <c r="E136" s="15">
        <f t="shared" si="34"/>
        <v>0.7773588905</v>
      </c>
      <c r="F136" s="15">
        <f t="shared" si="34"/>
        <v>0.8204250919</v>
      </c>
      <c r="G136" s="15">
        <f t="shared" si="34"/>
        <v>0.7545126205</v>
      </c>
      <c r="H136" s="15">
        <f t="shared" si="34"/>
        <v>0.7676150743</v>
      </c>
      <c r="I136" s="15">
        <f t="shared" si="34"/>
        <v>0.5713362248</v>
      </c>
      <c r="J136" s="15">
        <f t="shared" si="34"/>
        <v>1</v>
      </c>
      <c r="K136" s="15">
        <f t="shared" si="34"/>
        <v>0.600927317</v>
      </c>
      <c r="L136" s="15">
        <f t="shared" si="34"/>
        <v>0.6962502927</v>
      </c>
      <c r="M136" s="15">
        <f t="shared" si="34"/>
        <v>0.6431036724</v>
      </c>
      <c r="N136" s="15">
        <f t="shared" si="34"/>
        <v>0.7185681316</v>
      </c>
      <c r="O136" s="15">
        <f t="shared" si="34"/>
        <v>0.5177619023</v>
      </c>
      <c r="P136" s="15">
        <f t="shared" si="34"/>
        <v>0.3276771494</v>
      </c>
      <c r="Q136" s="15">
        <f t="shared" si="34"/>
        <v>0.3998291442</v>
      </c>
      <c r="R136" s="15">
        <f t="shared" si="34"/>
        <v>0</v>
      </c>
      <c r="S136" s="15">
        <f t="shared" si="34"/>
        <v>0.8702535689</v>
      </c>
      <c r="T136" s="15">
        <f t="shared" si="34"/>
        <v>0.5954727776</v>
      </c>
      <c r="U136" s="15">
        <f t="shared" si="34"/>
        <v>0.3780466632</v>
      </c>
      <c r="V136" s="15">
        <f t="shared" si="34"/>
        <v>0.5372854175</v>
      </c>
      <c r="W136" s="15">
        <f t="shared" si="34"/>
        <v>0.6786184872</v>
      </c>
      <c r="X136" s="15">
        <f t="shared" si="34"/>
        <v>0.2296185976</v>
      </c>
      <c r="Y136" s="15">
        <f t="shared" si="34"/>
        <v>0.7461374591</v>
      </c>
      <c r="Z136" s="15">
        <f t="shared" si="34"/>
        <v>0.5701910747</v>
      </c>
      <c r="AA136" s="15">
        <f t="shared" si="5"/>
        <v>1.676190503</v>
      </c>
      <c r="AB136" s="15">
        <f t="shared" si="6"/>
        <v>-0.2182720319</v>
      </c>
    </row>
    <row r="137">
      <c r="A137" s="11" t="str">
        <f>redflag_questions!A32</f>
        <v>Sie kann schlecht mit Geld umgehen.</v>
      </c>
      <c r="B137" s="15">
        <f t="shared" si="3"/>
        <v>5.956169394</v>
      </c>
      <c r="C137" s="15">
        <f t="shared" ref="C137:Z137" si="35">(C37-$AB137)/($AA137-$AB137)</f>
        <v>0.8054249818</v>
      </c>
      <c r="D137" s="15">
        <f t="shared" si="35"/>
        <v>0.6960214589</v>
      </c>
      <c r="E137" s="15">
        <f t="shared" si="35"/>
        <v>0.5788863844</v>
      </c>
      <c r="F137" s="15">
        <f t="shared" si="35"/>
        <v>0.5713119132</v>
      </c>
      <c r="G137" s="15">
        <f t="shared" si="35"/>
        <v>0.7752892194</v>
      </c>
      <c r="H137" s="15">
        <f t="shared" si="35"/>
        <v>0.8124959857</v>
      </c>
      <c r="I137" s="15">
        <f t="shared" si="35"/>
        <v>0.8493335809</v>
      </c>
      <c r="J137" s="15">
        <f t="shared" si="35"/>
        <v>0.7242261307</v>
      </c>
      <c r="K137" s="15">
        <f t="shared" si="35"/>
        <v>0.6582649094</v>
      </c>
      <c r="L137" s="15">
        <f t="shared" si="35"/>
        <v>0.2515198383</v>
      </c>
      <c r="M137" s="15">
        <f t="shared" si="35"/>
        <v>1</v>
      </c>
      <c r="N137" s="15">
        <f t="shared" si="35"/>
        <v>0</v>
      </c>
      <c r="O137" s="15">
        <f t="shared" si="35"/>
        <v>0.1450571725</v>
      </c>
      <c r="P137" s="15">
        <f t="shared" si="35"/>
        <v>0.8336515282</v>
      </c>
      <c r="Q137" s="15">
        <f t="shared" si="35"/>
        <v>0.6455720741</v>
      </c>
      <c r="R137" s="15">
        <f t="shared" si="35"/>
        <v>0.527943361</v>
      </c>
      <c r="S137" s="15">
        <f t="shared" si="35"/>
        <v>0.7676424609</v>
      </c>
      <c r="T137" s="15">
        <f t="shared" si="35"/>
        <v>0.6461191369</v>
      </c>
      <c r="U137" s="15">
        <f t="shared" si="35"/>
        <v>0.430598455</v>
      </c>
      <c r="V137" s="15">
        <f t="shared" si="35"/>
        <v>0.5235717845</v>
      </c>
      <c r="W137" s="15">
        <f t="shared" si="35"/>
        <v>0.6489193458</v>
      </c>
      <c r="X137" s="15">
        <f t="shared" si="35"/>
        <v>0.2587255793</v>
      </c>
      <c r="Y137" s="15">
        <f t="shared" si="35"/>
        <v>0.8195020531</v>
      </c>
      <c r="Z137" s="15">
        <f t="shared" si="35"/>
        <v>0.3247291924</v>
      </c>
      <c r="AA137" s="15">
        <f t="shared" si="5"/>
        <v>1.371516043</v>
      </c>
      <c r="AB137" s="15">
        <f t="shared" si="6"/>
        <v>-1.996274904</v>
      </c>
    </row>
    <row r="138">
      <c r="A138" s="11" t="str">
        <f>redflag_questions!A33</f>
        <v>Sie ist im allgemeinen sehr verwöhnt und möchte häufig wie eine Prinzessin gehandelt werden.</v>
      </c>
      <c r="B138" s="15">
        <f t="shared" si="3"/>
        <v>6.001178648</v>
      </c>
      <c r="C138" s="15">
        <f t="shared" ref="C138:Z138" si="36">(C38-$AB138)/($AA138-$AB138)</f>
        <v>0.2659694495</v>
      </c>
      <c r="D138" s="15">
        <f t="shared" si="36"/>
        <v>0.1460311532</v>
      </c>
      <c r="E138" s="15">
        <f t="shared" si="36"/>
        <v>0.2409022117</v>
      </c>
      <c r="F138" s="15">
        <f t="shared" si="36"/>
        <v>0.7930326067</v>
      </c>
      <c r="G138" s="15">
        <f t="shared" si="36"/>
        <v>0.6897991402</v>
      </c>
      <c r="H138" s="15">
        <f t="shared" si="36"/>
        <v>0.3346224334</v>
      </c>
      <c r="I138" s="15">
        <f t="shared" si="36"/>
        <v>0.7920133043</v>
      </c>
      <c r="J138" s="15">
        <f t="shared" si="36"/>
        <v>0.6193093579</v>
      </c>
      <c r="K138" s="15">
        <f t="shared" si="36"/>
        <v>0.8149917675</v>
      </c>
      <c r="L138" s="15">
        <f t="shared" si="36"/>
        <v>0.5201136689</v>
      </c>
      <c r="M138" s="15">
        <f t="shared" si="36"/>
        <v>1</v>
      </c>
      <c r="N138" s="15">
        <f t="shared" si="36"/>
        <v>0.4774141914</v>
      </c>
      <c r="O138" s="15">
        <f t="shared" si="36"/>
        <v>0.4402068792</v>
      </c>
      <c r="P138" s="15">
        <f t="shared" si="36"/>
        <v>0.770365094</v>
      </c>
      <c r="Q138" s="15">
        <f t="shared" si="36"/>
        <v>0.8069329875</v>
      </c>
      <c r="R138" s="15">
        <f t="shared" si="36"/>
        <v>0.8329749624</v>
      </c>
      <c r="S138" s="15">
        <f t="shared" si="36"/>
        <v>0.5067985554</v>
      </c>
      <c r="T138" s="15">
        <f t="shared" si="36"/>
        <v>0.810756137</v>
      </c>
      <c r="U138" s="15">
        <f t="shared" si="36"/>
        <v>0</v>
      </c>
      <c r="V138" s="15">
        <f t="shared" si="36"/>
        <v>0.9066566057</v>
      </c>
      <c r="W138" s="15">
        <f t="shared" si="36"/>
        <v>0.6953370111</v>
      </c>
      <c r="X138" s="15">
        <f t="shared" si="36"/>
        <v>0.9391183264</v>
      </c>
      <c r="Y138" s="15">
        <f t="shared" si="36"/>
        <v>0.7508325227</v>
      </c>
      <c r="Z138" s="15">
        <f t="shared" si="36"/>
        <v>0.2486503879</v>
      </c>
      <c r="AA138" s="15">
        <f t="shared" si="5"/>
        <v>1.371516043</v>
      </c>
      <c r="AB138" s="15">
        <f t="shared" si="6"/>
        <v>-1.068125592</v>
      </c>
    </row>
    <row r="139">
      <c r="A139" s="11" t="str">
        <f>redflag_questions!A34</f>
        <v>Sie hat einen verfrühten Babywunsch für Ihr Alter.</v>
      </c>
      <c r="B139" s="15">
        <f t="shared" si="3"/>
        <v>5.50207268</v>
      </c>
      <c r="C139" s="15">
        <f t="shared" ref="C139:Z139" si="37">(C39-$AB139)/($AA139-$AB139)</f>
        <v>0.1414866768</v>
      </c>
      <c r="D139" s="15">
        <f t="shared" si="37"/>
        <v>0.1409747519</v>
      </c>
      <c r="E139" s="15">
        <f t="shared" si="37"/>
        <v>0.4180268657</v>
      </c>
      <c r="F139" s="15">
        <f t="shared" si="37"/>
        <v>0.8255492491</v>
      </c>
      <c r="G139" s="15">
        <f t="shared" si="37"/>
        <v>0.767911605</v>
      </c>
      <c r="H139" s="15">
        <f t="shared" si="37"/>
        <v>0.6830981684</v>
      </c>
      <c r="I139" s="15">
        <f t="shared" si="37"/>
        <v>0.6033593226</v>
      </c>
      <c r="J139" s="15">
        <f t="shared" si="37"/>
        <v>0.3521894001</v>
      </c>
      <c r="K139" s="15">
        <f t="shared" si="37"/>
        <v>0.3575316789</v>
      </c>
      <c r="L139" s="15">
        <f t="shared" si="37"/>
        <v>0.776154858</v>
      </c>
      <c r="M139" s="15">
        <f t="shared" si="37"/>
        <v>0.6010696995</v>
      </c>
      <c r="N139" s="15">
        <f t="shared" si="37"/>
        <v>0.7690728246</v>
      </c>
      <c r="O139" s="15">
        <f t="shared" si="37"/>
        <v>0.7151555487</v>
      </c>
      <c r="P139" s="15">
        <f t="shared" si="37"/>
        <v>1</v>
      </c>
      <c r="Q139" s="15">
        <f t="shared" si="37"/>
        <v>0.254494055</v>
      </c>
      <c r="R139" s="15">
        <f t="shared" si="37"/>
        <v>0.8478499947</v>
      </c>
      <c r="S139" s="15">
        <f t="shared" si="37"/>
        <v>0.3768985453</v>
      </c>
      <c r="T139" s="15">
        <f t="shared" si="37"/>
        <v>0</v>
      </c>
      <c r="U139" s="15">
        <f t="shared" si="37"/>
        <v>0.5022465419</v>
      </c>
      <c r="V139" s="15">
        <f t="shared" si="37"/>
        <v>0.8102172002</v>
      </c>
      <c r="W139" s="15">
        <f t="shared" si="37"/>
        <v>0.4695348977</v>
      </c>
      <c r="X139" s="15">
        <f t="shared" si="37"/>
        <v>0.3697781873</v>
      </c>
      <c r="Y139" s="15">
        <f t="shared" si="37"/>
        <v>0.9007663589</v>
      </c>
      <c r="Z139" s="15">
        <f t="shared" si="37"/>
        <v>0.5216080021</v>
      </c>
      <c r="AA139" s="15">
        <f t="shared" si="5"/>
        <v>1.628867395</v>
      </c>
      <c r="AB139" s="15">
        <f t="shared" si="6"/>
        <v>-2.740718963</v>
      </c>
    </row>
    <row r="140">
      <c r="A140" s="11" t="str">
        <f>redflag_questions!A35</f>
        <v>Sie lügt häufig und entschuldigt sich dafür nicht.</v>
      </c>
      <c r="B140" s="15">
        <f t="shared" si="3"/>
        <v>5.915775049</v>
      </c>
      <c r="C140" s="15">
        <f t="shared" ref="C140:Z140" si="38">(C40-$AB140)/($AA140-$AB140)</f>
        <v>0.3859588109</v>
      </c>
      <c r="D140" s="15">
        <f t="shared" si="38"/>
        <v>0.5765020169</v>
      </c>
      <c r="E140" s="15">
        <f t="shared" si="38"/>
        <v>0.4448578273</v>
      </c>
      <c r="F140" s="15">
        <f t="shared" si="38"/>
        <v>1</v>
      </c>
      <c r="G140" s="15">
        <f t="shared" si="38"/>
        <v>0.664966825</v>
      </c>
      <c r="H140" s="15">
        <f t="shared" si="38"/>
        <v>0.6789608153</v>
      </c>
      <c r="I140" s="15">
        <f t="shared" si="38"/>
        <v>0.7423020591</v>
      </c>
      <c r="J140" s="15">
        <f t="shared" si="38"/>
        <v>0</v>
      </c>
      <c r="K140" s="15">
        <f t="shared" si="38"/>
        <v>0.5009310444</v>
      </c>
      <c r="L140" s="15">
        <f t="shared" si="38"/>
        <v>0.6027401263</v>
      </c>
      <c r="M140" s="15">
        <f t="shared" si="38"/>
        <v>0.7553913235</v>
      </c>
      <c r="N140" s="15">
        <f t="shared" si="38"/>
        <v>0.3316017373</v>
      </c>
      <c r="O140" s="15">
        <f t="shared" si="38"/>
        <v>0.4121067661</v>
      </c>
      <c r="P140" s="15">
        <f t="shared" si="38"/>
        <v>0.6700150698</v>
      </c>
      <c r="Q140" s="15">
        <f t="shared" si="38"/>
        <v>0.6935445468</v>
      </c>
      <c r="R140" s="15">
        <f t="shared" si="38"/>
        <v>0.8589404163</v>
      </c>
      <c r="S140" s="15">
        <f t="shared" si="38"/>
        <v>0.3142225122</v>
      </c>
      <c r="T140" s="15">
        <f t="shared" si="38"/>
        <v>0.906720123</v>
      </c>
      <c r="U140" s="15">
        <f t="shared" si="38"/>
        <v>0.2628848171</v>
      </c>
      <c r="V140" s="15">
        <f t="shared" si="38"/>
        <v>0.8210549531</v>
      </c>
      <c r="W140" s="15">
        <f t="shared" si="38"/>
        <v>0.5839085915</v>
      </c>
      <c r="X140" s="15">
        <f t="shared" si="38"/>
        <v>0.8607538485</v>
      </c>
      <c r="Y140" s="15">
        <f t="shared" si="38"/>
        <v>0.4126864343</v>
      </c>
      <c r="Z140" s="15">
        <f t="shared" si="38"/>
        <v>0.7168094535</v>
      </c>
      <c r="AA140" s="15">
        <f t="shared" si="5"/>
        <v>1.805395362</v>
      </c>
      <c r="AB140" s="15">
        <f t="shared" si="6"/>
        <v>0.03162623591</v>
      </c>
    </row>
    <row r="141">
      <c r="A141" s="11" t="str">
        <f>redflag_questions!A36</f>
        <v>Sie ruft ab und zu Unsicherheiten in dir hervor.</v>
      </c>
      <c r="B141" s="15">
        <f t="shared" si="3"/>
        <v>4.576924145</v>
      </c>
      <c r="C141" s="15">
        <f t="shared" ref="C141:Z141" si="39">(C41-$AB141)/($AA141-$AB141)</f>
        <v>1.007271872</v>
      </c>
      <c r="D141" s="15">
        <f t="shared" si="39"/>
        <v>0.931860007</v>
      </c>
      <c r="E141" s="15">
        <f t="shared" si="39"/>
        <v>0.2858228749</v>
      </c>
      <c r="F141" s="15">
        <f t="shared" si="39"/>
        <v>0.5621484676</v>
      </c>
      <c r="G141" s="15">
        <f t="shared" si="39"/>
        <v>0.396129472</v>
      </c>
      <c r="H141" s="15">
        <f t="shared" si="39"/>
        <v>0.5032167612</v>
      </c>
      <c r="I141" s="15">
        <f t="shared" si="39"/>
        <v>0.5516217279</v>
      </c>
      <c r="J141" s="15">
        <f t="shared" si="39"/>
        <v>0.5962312111</v>
      </c>
      <c r="K141" s="15">
        <f t="shared" si="39"/>
        <v>0.4286628594</v>
      </c>
      <c r="L141" s="15">
        <f t="shared" si="39"/>
        <v>0.5040506937</v>
      </c>
      <c r="M141" s="15">
        <f t="shared" si="39"/>
        <v>0.1825869847</v>
      </c>
      <c r="N141" s="15">
        <f t="shared" si="39"/>
        <v>0.6175547292</v>
      </c>
      <c r="O141" s="15">
        <f t="shared" si="39"/>
        <v>0.836152137</v>
      </c>
      <c r="P141" s="15">
        <f t="shared" si="39"/>
        <v>0.3154435489</v>
      </c>
      <c r="Q141" s="15">
        <f t="shared" si="39"/>
        <v>1</v>
      </c>
      <c r="R141" s="15">
        <f t="shared" si="39"/>
        <v>0.5142103097</v>
      </c>
      <c r="S141" s="15">
        <f t="shared" si="39"/>
        <v>0.3649197377</v>
      </c>
      <c r="T141" s="15">
        <f t="shared" si="39"/>
        <v>0.1655689067</v>
      </c>
      <c r="U141" s="15">
        <f t="shared" si="39"/>
        <v>0.2352737819</v>
      </c>
      <c r="V141" s="15">
        <f t="shared" si="39"/>
        <v>0.3964068976</v>
      </c>
      <c r="W141" s="15">
        <f t="shared" si="39"/>
        <v>0.0714554865</v>
      </c>
      <c r="X141" s="15">
        <f t="shared" si="39"/>
        <v>0.1065358798</v>
      </c>
      <c r="Y141" s="15">
        <f t="shared" si="39"/>
        <v>0.4114936009</v>
      </c>
      <c r="Z141" s="15">
        <f t="shared" si="39"/>
        <v>0</v>
      </c>
      <c r="AA141" s="15">
        <f t="shared" si="5"/>
        <v>1.26181414</v>
      </c>
      <c r="AB141" s="15">
        <f t="shared" si="6"/>
        <v>-1.784949102</v>
      </c>
    </row>
    <row r="142">
      <c r="A142" s="11" t="str">
        <f>redflag_questions!A37</f>
        <v>Sie vermittelt dir den Glauben - Sie ist der Preis / wertvoll - du aber eher nicht.</v>
      </c>
      <c r="B142" s="15">
        <f t="shared" si="3"/>
        <v>5.411274206</v>
      </c>
      <c r="C142" s="15">
        <f t="shared" ref="C142:Z142" si="40">(C42-$AB142)/($AA142-$AB142)</f>
        <v>0.5241339779</v>
      </c>
      <c r="D142" s="15">
        <f t="shared" si="40"/>
        <v>-0.5606694107</v>
      </c>
      <c r="E142" s="15">
        <f t="shared" si="40"/>
        <v>0.5696907159</v>
      </c>
      <c r="F142" s="15">
        <f t="shared" si="40"/>
        <v>0.5897008939</v>
      </c>
      <c r="G142" s="15">
        <f t="shared" si="40"/>
        <v>1</v>
      </c>
      <c r="H142" s="15">
        <f t="shared" si="40"/>
        <v>0.3182735728</v>
      </c>
      <c r="I142" s="15">
        <f t="shared" si="40"/>
        <v>0.7997554901</v>
      </c>
      <c r="J142" s="15">
        <f t="shared" si="40"/>
        <v>0.5841710251</v>
      </c>
      <c r="K142" s="15">
        <f t="shared" si="40"/>
        <v>0.6130617772</v>
      </c>
      <c r="L142" s="15">
        <f t="shared" si="40"/>
        <v>0.6918082478</v>
      </c>
      <c r="M142" s="15">
        <f t="shared" si="40"/>
        <v>0</v>
      </c>
      <c r="N142" s="15">
        <f t="shared" si="40"/>
        <v>0.9383997985</v>
      </c>
      <c r="O142" s="15">
        <f t="shared" si="40"/>
        <v>0.5443586882</v>
      </c>
      <c r="P142" s="15">
        <f t="shared" si="40"/>
        <v>0.5655864423</v>
      </c>
      <c r="Q142" s="15">
        <f t="shared" si="40"/>
        <v>0.6044885798</v>
      </c>
      <c r="R142" s="15">
        <f t="shared" si="40"/>
        <v>0.8899719893</v>
      </c>
      <c r="S142" s="15">
        <f t="shared" si="40"/>
        <v>0.4686479621</v>
      </c>
      <c r="T142" s="15">
        <f t="shared" si="40"/>
        <v>0.608555773</v>
      </c>
      <c r="U142" s="15">
        <f t="shared" si="40"/>
        <v>0.2013086337</v>
      </c>
      <c r="V142" s="15">
        <f t="shared" si="40"/>
        <v>0.8606686457</v>
      </c>
      <c r="W142" s="15">
        <f t="shared" si="40"/>
        <v>0.48576908</v>
      </c>
      <c r="X142" s="15">
        <f t="shared" si="40"/>
        <v>0.7451117261</v>
      </c>
      <c r="Y142" s="15">
        <f t="shared" si="40"/>
        <v>0.3565939708</v>
      </c>
      <c r="Z142" s="15">
        <f t="shared" si="40"/>
        <v>0.5876705157</v>
      </c>
      <c r="AA142" s="15">
        <f t="shared" si="5"/>
        <v>1.807510609</v>
      </c>
      <c r="AB142" s="15">
        <f t="shared" si="6"/>
        <v>-0.4857452654</v>
      </c>
    </row>
    <row r="143">
      <c r="A143" s="11" t="str">
        <f>redflag_questions!A38</f>
        <v>Sie nutzt Intimität als Belohnung aus.</v>
      </c>
      <c r="B143" s="15">
        <f t="shared" si="3"/>
        <v>5.596963093</v>
      </c>
      <c r="C143" s="15">
        <f t="shared" ref="C143:Z143" si="41">(C43-$AB143)/($AA143-$AB143)</f>
        <v>0.3300503472</v>
      </c>
      <c r="D143" s="15">
        <f t="shared" si="41"/>
        <v>0.760421131</v>
      </c>
      <c r="E143" s="15">
        <f t="shared" si="41"/>
        <v>0.8555488102</v>
      </c>
      <c r="F143" s="15">
        <f t="shared" si="41"/>
        <v>0.6712708919</v>
      </c>
      <c r="G143" s="15">
        <f t="shared" si="41"/>
        <v>0.2682137743</v>
      </c>
      <c r="H143" s="15">
        <f t="shared" si="41"/>
        <v>0.6111391739</v>
      </c>
      <c r="I143" s="15">
        <f t="shared" si="41"/>
        <v>0.6700892735</v>
      </c>
      <c r="J143" s="15">
        <f t="shared" si="41"/>
        <v>0.8606065922</v>
      </c>
      <c r="K143" s="15">
        <f t="shared" si="41"/>
        <v>0.6967268778</v>
      </c>
      <c r="L143" s="15">
        <f t="shared" si="41"/>
        <v>0.7825356642</v>
      </c>
      <c r="M143" s="15">
        <f t="shared" si="41"/>
        <v>0.7346936098</v>
      </c>
      <c r="N143" s="15">
        <f t="shared" si="41"/>
        <v>0.3053927047</v>
      </c>
      <c r="O143" s="15">
        <f t="shared" si="41"/>
        <v>0.4420613119</v>
      </c>
      <c r="P143" s="15">
        <f t="shared" si="41"/>
        <v>0.2565058822</v>
      </c>
      <c r="Q143" s="15">
        <f t="shared" si="41"/>
        <v>0.6873847999</v>
      </c>
      <c r="R143" s="15">
        <f t="shared" si="41"/>
        <v>0.1557781359</v>
      </c>
      <c r="S143" s="15">
        <f t="shared" si="41"/>
        <v>0.5393614223</v>
      </c>
      <c r="T143" s="15">
        <f t="shared" si="41"/>
        <v>0.6918167562</v>
      </c>
      <c r="U143" s="15">
        <f t="shared" si="41"/>
        <v>0</v>
      </c>
      <c r="V143" s="15">
        <f t="shared" si="41"/>
        <v>0.4758855299</v>
      </c>
      <c r="W143" s="15">
        <f t="shared" si="41"/>
        <v>0.1407267235</v>
      </c>
      <c r="X143" s="15">
        <f t="shared" si="41"/>
        <v>1</v>
      </c>
      <c r="Y143" s="15">
        <f t="shared" si="41"/>
        <v>0.8274435909</v>
      </c>
      <c r="Z143" s="15">
        <f t="shared" si="41"/>
        <v>0.6690584208</v>
      </c>
      <c r="AA143" s="15">
        <f t="shared" si="5"/>
        <v>1.558404837</v>
      </c>
      <c r="AB143" s="15">
        <f t="shared" si="6"/>
        <v>-0.546109325</v>
      </c>
    </row>
    <row r="144">
      <c r="A144" s="11" t="str">
        <f>redflag_questions!A39</f>
        <v>Sie stellt dich vor anderen Bloß wenn sie nicht in deinem Team mitspielt. Sie hält nicht zu dir in sozialen Situationen.</v>
      </c>
      <c r="B144" s="15">
        <f t="shared" si="3"/>
        <v>6.447410853</v>
      </c>
      <c r="C144" s="15">
        <f t="shared" ref="C144:Z144" si="42">(C44-$AB144)/($AA144-$AB144)</f>
        <v>0.817939141</v>
      </c>
      <c r="D144" s="15">
        <f t="shared" si="42"/>
        <v>0.7380395704</v>
      </c>
      <c r="E144" s="15">
        <f t="shared" si="42"/>
        <v>0.8076580944</v>
      </c>
      <c r="F144" s="15">
        <f t="shared" si="42"/>
        <v>0.8360300092</v>
      </c>
      <c r="G144" s="15">
        <f t="shared" si="42"/>
        <v>1</v>
      </c>
      <c r="H144" s="15">
        <f t="shared" si="42"/>
        <v>0.6287886182</v>
      </c>
      <c r="I144" s="15">
        <f t="shared" si="42"/>
        <v>0.5035522097</v>
      </c>
      <c r="J144" s="15">
        <f t="shared" si="42"/>
        <v>0.3824377462</v>
      </c>
      <c r="K144" s="15">
        <f t="shared" si="42"/>
        <v>0.8130573424</v>
      </c>
      <c r="L144" s="15">
        <f t="shared" si="42"/>
        <v>0.7542239362</v>
      </c>
      <c r="M144" s="15">
        <f t="shared" si="42"/>
        <v>0.8483832671</v>
      </c>
      <c r="N144" s="15">
        <f t="shared" si="42"/>
        <v>0.7689268773</v>
      </c>
      <c r="O144" s="15">
        <f t="shared" si="42"/>
        <v>0.7682222156</v>
      </c>
      <c r="P144" s="15">
        <f t="shared" si="42"/>
        <v>0.08494061213</v>
      </c>
      <c r="Q144" s="15">
        <f t="shared" si="42"/>
        <v>0.8102345253</v>
      </c>
      <c r="R144" s="15">
        <f t="shared" si="42"/>
        <v>0.5011089299</v>
      </c>
      <c r="S144" s="15">
        <f t="shared" si="42"/>
        <v>0.1373610933</v>
      </c>
      <c r="T144" s="15">
        <f t="shared" si="42"/>
        <v>0.9417269079</v>
      </c>
      <c r="U144" s="15">
        <f t="shared" si="42"/>
        <v>0</v>
      </c>
      <c r="V144" s="15">
        <f t="shared" si="42"/>
        <v>0.4101101362</v>
      </c>
      <c r="W144" s="15">
        <f t="shared" si="42"/>
        <v>0.7426081432</v>
      </c>
      <c r="X144" s="15">
        <f t="shared" si="42"/>
        <v>0.5634494549</v>
      </c>
      <c r="Y144" s="15">
        <f t="shared" si="42"/>
        <v>0.6369937487</v>
      </c>
      <c r="Z144" s="15">
        <f t="shared" si="42"/>
        <v>0.9779934684</v>
      </c>
      <c r="AA144" s="15">
        <f t="shared" si="5"/>
        <v>1.807510609</v>
      </c>
      <c r="AB144" s="15">
        <f t="shared" si="6"/>
        <v>-1.068125592</v>
      </c>
    </row>
    <row r="145">
      <c r="A145" s="11" t="str">
        <f>redflag_questions!A40</f>
        <v>Sie bestraft dich mit Stille ohne es dir vorher zu kommunizieren dass Sie Ruhe braucht.</v>
      </c>
      <c r="B145" s="15">
        <f t="shared" si="3"/>
        <v>5.827024281</v>
      </c>
      <c r="C145" s="15">
        <f t="shared" ref="C145:Z145" si="43">(C45-$AB145)/($AA145-$AB145)</f>
        <v>0.870125276</v>
      </c>
      <c r="D145" s="15">
        <f t="shared" si="43"/>
        <v>0.6770863778</v>
      </c>
      <c r="E145" s="15">
        <f t="shared" si="43"/>
        <v>0.2858919229</v>
      </c>
      <c r="F145" s="15">
        <f t="shared" si="43"/>
        <v>0.4210560708</v>
      </c>
      <c r="G145" s="15">
        <f t="shared" si="43"/>
        <v>0.6485244926</v>
      </c>
      <c r="H145" s="15">
        <f t="shared" si="43"/>
        <v>0.6900161887</v>
      </c>
      <c r="I145" s="15">
        <f t="shared" si="43"/>
        <v>0.5707661074</v>
      </c>
      <c r="J145" s="15">
        <f t="shared" si="43"/>
        <v>1</v>
      </c>
      <c r="K145" s="15">
        <f t="shared" si="43"/>
        <v>0.6338409683</v>
      </c>
      <c r="L145" s="15">
        <f t="shared" si="43"/>
        <v>0.5114474163</v>
      </c>
      <c r="M145" s="15">
        <f t="shared" si="43"/>
        <v>0.8991141663</v>
      </c>
      <c r="N145" s="15">
        <f t="shared" si="43"/>
        <v>0.4769534818</v>
      </c>
      <c r="O145" s="15">
        <f t="shared" si="43"/>
        <v>0.5721924669</v>
      </c>
      <c r="P145" s="15">
        <f t="shared" si="43"/>
        <v>0.5782471458</v>
      </c>
      <c r="Q145" s="15">
        <f t="shared" si="43"/>
        <v>0.5038684283</v>
      </c>
      <c r="R145" s="15">
        <f t="shared" si="43"/>
        <v>0.9599329215</v>
      </c>
      <c r="S145" s="15">
        <f t="shared" si="43"/>
        <v>0.6399970925</v>
      </c>
      <c r="T145" s="15">
        <f t="shared" si="43"/>
        <v>0.7462372274</v>
      </c>
      <c r="U145" s="15">
        <f t="shared" si="43"/>
        <v>0.2641372996</v>
      </c>
      <c r="V145" s="15">
        <f t="shared" si="43"/>
        <v>0.823708538</v>
      </c>
      <c r="W145" s="15">
        <f t="shared" si="43"/>
        <v>0.3622042264</v>
      </c>
      <c r="X145" s="15">
        <f t="shared" si="43"/>
        <v>0.2946024761</v>
      </c>
      <c r="Y145" s="15">
        <f t="shared" si="43"/>
        <v>0.5549079823</v>
      </c>
      <c r="Z145" s="15">
        <f t="shared" si="43"/>
        <v>0</v>
      </c>
      <c r="AA145" s="15">
        <f t="shared" si="5"/>
        <v>1.676190503</v>
      </c>
      <c r="AB145" s="15">
        <f t="shared" si="6"/>
        <v>-1.343801986</v>
      </c>
    </row>
    <row r="146">
      <c r="A146" s="11" t="str">
        <f>redflag_questions!A41</f>
        <v>Sie trägt keine Verantwortung für Ihr Handeln und verdreht häufig die Realität.</v>
      </c>
      <c r="B146" s="15">
        <f t="shared" si="3"/>
        <v>5.513174503</v>
      </c>
      <c r="C146" s="15">
        <f t="shared" ref="C146:Z146" si="44">(C46-$AB146)/($AA146-$AB146)</f>
        <v>0.2690869555</v>
      </c>
      <c r="D146" s="15">
        <f t="shared" si="44"/>
        <v>0.6686282521</v>
      </c>
      <c r="E146" s="15">
        <f t="shared" si="44"/>
        <v>0.7569414874</v>
      </c>
      <c r="F146" s="15">
        <f t="shared" si="44"/>
        <v>1</v>
      </c>
      <c r="G146" s="15">
        <f t="shared" si="44"/>
        <v>0.4747643852</v>
      </c>
      <c r="H146" s="15">
        <f t="shared" si="44"/>
        <v>0.530040065</v>
      </c>
      <c r="I146" s="15">
        <f t="shared" si="44"/>
        <v>0.5847672912</v>
      </c>
      <c r="J146" s="15">
        <f t="shared" si="44"/>
        <v>0.7616369567</v>
      </c>
      <c r="K146" s="15">
        <f t="shared" si="44"/>
        <v>0.6094967185</v>
      </c>
      <c r="L146" s="15">
        <f t="shared" si="44"/>
        <v>0.6891586171</v>
      </c>
      <c r="M146" s="15">
        <f t="shared" si="44"/>
        <v>0.3170259048</v>
      </c>
      <c r="N146" s="15">
        <f t="shared" si="44"/>
        <v>0.4770027027</v>
      </c>
      <c r="O146" s="15">
        <f t="shared" si="44"/>
        <v>0.5399949557</v>
      </c>
      <c r="P146" s="15">
        <f t="shared" si="44"/>
        <v>0.7417988102</v>
      </c>
      <c r="Q146" s="15">
        <f t="shared" si="44"/>
        <v>0.4414379462</v>
      </c>
      <c r="R146" s="15">
        <f t="shared" si="44"/>
        <v>0.8896260131</v>
      </c>
      <c r="S146" s="15">
        <f t="shared" si="44"/>
        <v>0.463404092</v>
      </c>
      <c r="T146" s="15">
        <f t="shared" si="44"/>
        <v>0.6049383319</v>
      </c>
      <c r="U146" s="15">
        <f t="shared" si="44"/>
        <v>0.1929569427</v>
      </c>
      <c r="V146" s="15">
        <f t="shared" si="44"/>
        <v>0.7081464377</v>
      </c>
      <c r="W146" s="15">
        <f t="shared" si="44"/>
        <v>0.480724243</v>
      </c>
      <c r="X146" s="15">
        <f t="shared" si="44"/>
        <v>0.2991921212</v>
      </c>
      <c r="Y146" s="15">
        <f t="shared" si="44"/>
        <v>0.7308495774</v>
      </c>
      <c r="Z146" s="15">
        <f t="shared" si="44"/>
        <v>0</v>
      </c>
      <c r="AA146" s="15">
        <f t="shared" si="5"/>
        <v>1.805395362</v>
      </c>
      <c r="AB146" s="15">
        <f t="shared" si="6"/>
        <v>-0.4615077527</v>
      </c>
    </row>
    <row r="147">
      <c r="A147" s="11" t="str">
        <f>redflag_questions!A42</f>
        <v>Sie ist Trans oder Gender Fluid und kennt Ihre Identität nicht.</v>
      </c>
      <c r="B147" s="15">
        <f t="shared" si="3"/>
        <v>7.245428717</v>
      </c>
      <c r="C147" s="15">
        <f t="shared" ref="C147:Z147" si="45">(C47-$AB147)/($AA147-$AB147)</f>
        <v>0.6963677045</v>
      </c>
      <c r="D147" s="15">
        <f t="shared" si="45"/>
        <v>0.7961941263</v>
      </c>
      <c r="E147" s="15">
        <f t="shared" si="45"/>
        <v>0.8553249187</v>
      </c>
      <c r="F147" s="15">
        <f t="shared" si="45"/>
        <v>0.8794227263</v>
      </c>
      <c r="G147" s="15">
        <f t="shared" si="45"/>
        <v>0.8425412275</v>
      </c>
      <c r="H147" s="15">
        <f t="shared" si="45"/>
        <v>0.7034013609</v>
      </c>
      <c r="I147" s="15">
        <f t="shared" si="45"/>
        <v>0.8830574959</v>
      </c>
      <c r="J147" s="15">
        <f t="shared" si="45"/>
        <v>0.9799043441</v>
      </c>
      <c r="K147" s="15">
        <f t="shared" si="45"/>
        <v>0.8599107931</v>
      </c>
      <c r="L147" s="15">
        <f t="shared" si="45"/>
        <v>0.8099403869</v>
      </c>
      <c r="M147" s="15">
        <f t="shared" si="45"/>
        <v>0.6704890891</v>
      </c>
      <c r="N147" s="15">
        <f t="shared" si="45"/>
        <v>0.6678897951</v>
      </c>
      <c r="O147" s="15">
        <f t="shared" si="45"/>
        <v>0.8218298856</v>
      </c>
      <c r="P147" s="15">
        <f t="shared" si="45"/>
        <v>0</v>
      </c>
      <c r="Q147" s="15">
        <f t="shared" si="45"/>
        <v>0.8575132213</v>
      </c>
      <c r="R147" s="15">
        <f t="shared" si="45"/>
        <v>0.4203516825</v>
      </c>
      <c r="S147" s="15">
        <f t="shared" si="45"/>
        <v>0.9073043832</v>
      </c>
      <c r="T147" s="15">
        <f t="shared" si="45"/>
        <v>0.7535500601</v>
      </c>
      <c r="U147" s="15">
        <f t="shared" si="45"/>
        <v>0.9402564667</v>
      </c>
      <c r="V147" s="15">
        <f t="shared" si="45"/>
        <v>0.7209911679</v>
      </c>
      <c r="W147" s="15">
        <f t="shared" si="45"/>
        <v>0.8000744632</v>
      </c>
      <c r="X147" s="15">
        <f t="shared" si="45"/>
        <v>0.4497654978</v>
      </c>
      <c r="Y147" s="15">
        <f t="shared" si="45"/>
        <v>0.07294812398</v>
      </c>
      <c r="Z147" s="15">
        <f t="shared" si="45"/>
        <v>1</v>
      </c>
      <c r="AA147" s="15">
        <f t="shared" si="5"/>
        <v>1.74422783</v>
      </c>
      <c r="AB147" s="15">
        <f t="shared" si="6"/>
        <v>-1.641445522</v>
      </c>
    </row>
    <row r="148">
      <c r="A148" s="11" t="str">
        <f>redflag_questions!A43</f>
        <v>Sie benutzt Gender-Pronomen beim Sprechen oder auf Dating Plattformen.</v>
      </c>
      <c r="B148" s="15">
        <f t="shared" si="3"/>
        <v>5.120564999</v>
      </c>
      <c r="C148" s="15">
        <f t="shared" ref="C148:Z148" si="46">(C48-$AB148)/($AA148-$AB148)</f>
        <v>0.3873988264</v>
      </c>
      <c r="D148" s="15">
        <f t="shared" si="46"/>
        <v>0.7931457683</v>
      </c>
      <c r="E148" s="15">
        <f t="shared" si="46"/>
        <v>0.6094163312</v>
      </c>
      <c r="F148" s="15">
        <f t="shared" si="46"/>
        <v>1</v>
      </c>
      <c r="G148" s="15">
        <f t="shared" si="46"/>
        <v>0.6721289299</v>
      </c>
      <c r="H148" s="15">
        <f t="shared" si="46"/>
        <v>0.2969631671</v>
      </c>
      <c r="I148" s="15">
        <f t="shared" si="46"/>
        <v>0.4741312005</v>
      </c>
      <c r="J148" s="15">
        <f t="shared" si="46"/>
        <v>0.851205166</v>
      </c>
      <c r="K148" s="15">
        <f t="shared" si="46"/>
        <v>0.756233726</v>
      </c>
      <c r="L148" s="15">
        <f t="shared" si="46"/>
        <v>0.5581337029</v>
      </c>
      <c r="M148" s="15">
        <f t="shared" si="46"/>
        <v>0.8805228316</v>
      </c>
      <c r="N148" s="15">
        <f t="shared" si="46"/>
        <v>0.8176042761</v>
      </c>
      <c r="O148" s="15">
        <f t="shared" si="46"/>
        <v>0.5044520732</v>
      </c>
      <c r="P148" s="15">
        <f t="shared" si="46"/>
        <v>0.05084485158</v>
      </c>
      <c r="Q148" s="15">
        <f t="shared" si="46"/>
        <v>0.8503142639</v>
      </c>
      <c r="R148" s="15">
        <f t="shared" si="46"/>
        <v>0.4427435468</v>
      </c>
      <c r="S148" s="15">
        <f t="shared" si="46"/>
        <v>0.8967351353</v>
      </c>
      <c r="T148" s="15">
        <f t="shared" si="46"/>
        <v>0.7533882162</v>
      </c>
      <c r="U148" s="15">
        <f t="shared" si="46"/>
        <v>0.2087197236</v>
      </c>
      <c r="V148" s="15">
        <f t="shared" si="46"/>
        <v>0.0595643563</v>
      </c>
      <c r="W148" s="15">
        <f t="shared" si="46"/>
        <v>0.1921926401</v>
      </c>
      <c r="X148" s="15">
        <f t="shared" si="46"/>
        <v>0.1007104345</v>
      </c>
      <c r="Y148" s="15">
        <f t="shared" si="46"/>
        <v>0</v>
      </c>
      <c r="Z148" s="15">
        <f t="shared" si="46"/>
        <v>0.1328068289</v>
      </c>
      <c r="AA148" s="15">
        <f t="shared" si="5"/>
        <v>1.805395362</v>
      </c>
      <c r="AB148" s="15">
        <f t="shared" si="6"/>
        <v>-1.826087741</v>
      </c>
    </row>
    <row r="149">
      <c r="A149" s="11" t="str">
        <f>redflag_questions!A44</f>
        <v>Sie hat nicht natürlich ausschauende und gefärbte Haare wie z.B. Pink Grün Rot ...</v>
      </c>
      <c r="B149" s="15">
        <f t="shared" si="3"/>
        <v>4.38863408</v>
      </c>
      <c r="C149" s="15">
        <f t="shared" ref="C149:Z149" si="47">(C49-$AB149)/($AA149-$AB149)</f>
        <v>0.5309156746</v>
      </c>
      <c r="D149" s="15">
        <f t="shared" si="47"/>
        <v>0.4467284528</v>
      </c>
      <c r="E149" s="15">
        <f t="shared" si="47"/>
        <v>0.2637543259</v>
      </c>
      <c r="F149" s="15">
        <f t="shared" si="47"/>
        <v>0.2256016759</v>
      </c>
      <c r="G149" s="15">
        <f t="shared" si="47"/>
        <v>1</v>
      </c>
      <c r="H149" s="15">
        <f t="shared" si="47"/>
        <v>0.8644626769</v>
      </c>
      <c r="I149" s="15">
        <f t="shared" si="47"/>
        <v>0.2036055569</v>
      </c>
      <c r="J149" s="15">
        <f t="shared" si="47"/>
        <v>0.305766866</v>
      </c>
      <c r="K149" s="15">
        <f t="shared" si="47"/>
        <v>0.513750777</v>
      </c>
      <c r="L149" s="15">
        <f t="shared" si="47"/>
        <v>0.1914281099</v>
      </c>
      <c r="M149" s="15">
        <f t="shared" si="47"/>
        <v>0.5117855676</v>
      </c>
      <c r="N149" s="15">
        <f t="shared" si="47"/>
        <v>0.6793332021</v>
      </c>
      <c r="O149" s="15">
        <f t="shared" si="47"/>
        <v>0</v>
      </c>
      <c r="P149" s="15">
        <f t="shared" si="47"/>
        <v>0.4145028419</v>
      </c>
      <c r="Q149" s="15">
        <f t="shared" si="47"/>
        <v>0.2868997269</v>
      </c>
      <c r="R149" s="15">
        <f t="shared" si="47"/>
        <v>0.4186579739</v>
      </c>
      <c r="S149" s="15">
        <f t="shared" si="47"/>
        <v>0.5789161636</v>
      </c>
      <c r="T149" s="15">
        <f t="shared" si="47"/>
        <v>0.9133129498</v>
      </c>
      <c r="U149" s="15">
        <f t="shared" si="47"/>
        <v>0.344226104</v>
      </c>
      <c r="V149" s="15">
        <f t="shared" si="47"/>
        <v>0.1883838648</v>
      </c>
      <c r="W149" s="15">
        <f t="shared" si="47"/>
        <v>0.2006231492</v>
      </c>
      <c r="X149" s="15">
        <f t="shared" si="47"/>
        <v>0.4243842103</v>
      </c>
      <c r="Y149" s="15">
        <f t="shared" si="47"/>
        <v>0.1261491438</v>
      </c>
      <c r="Z149" s="15">
        <f t="shared" si="47"/>
        <v>0.8995327787</v>
      </c>
      <c r="AA149" s="15">
        <f t="shared" si="5"/>
        <v>1.21112386</v>
      </c>
      <c r="AB149" s="15">
        <f t="shared" si="6"/>
        <v>-2.264539727</v>
      </c>
    </row>
    <row r="150">
      <c r="A150" s="11" t="str">
        <f>redflag_questions!A45</f>
        <v>Sie antwortet dir nicht bei einer Meinungsverschiedenheit oder einem Konflikt und macht sich rar.</v>
      </c>
      <c r="B150" s="15">
        <f t="shared" si="3"/>
        <v>5.523380811</v>
      </c>
      <c r="C150" s="15">
        <f t="shared" ref="C150:Z150" si="48">(C50-$AB150)/($AA150-$AB150)</f>
        <v>0.7682798474</v>
      </c>
      <c r="D150" s="15">
        <f t="shared" si="48"/>
        <v>0.4575575516</v>
      </c>
      <c r="E150" s="15">
        <f t="shared" si="48"/>
        <v>1</v>
      </c>
      <c r="F150" s="15">
        <f t="shared" si="48"/>
        <v>0.42880368</v>
      </c>
      <c r="G150" s="15">
        <f t="shared" si="48"/>
        <v>0.7245814192</v>
      </c>
      <c r="H150" s="15">
        <f t="shared" si="48"/>
        <v>0.1379764551</v>
      </c>
      <c r="I150" s="15">
        <f t="shared" si="48"/>
        <v>0.414994398</v>
      </c>
      <c r="J150" s="15">
        <f t="shared" si="48"/>
        <v>0.6505372756</v>
      </c>
      <c r="K150" s="15">
        <f t="shared" si="48"/>
        <v>0.5548900624</v>
      </c>
      <c r="L150" s="15">
        <f t="shared" si="48"/>
        <v>0.3525893375</v>
      </c>
      <c r="M150" s="15">
        <f t="shared" si="48"/>
        <v>0.5706209876</v>
      </c>
      <c r="N150" s="15">
        <f t="shared" si="48"/>
        <v>0.05092940445</v>
      </c>
      <c r="O150" s="15">
        <f t="shared" si="48"/>
        <v>0.6253267015</v>
      </c>
      <c r="P150" s="15">
        <f t="shared" si="48"/>
        <v>0.8092098127</v>
      </c>
      <c r="Q150" s="15">
        <f t="shared" si="48"/>
        <v>0.6920531932</v>
      </c>
      <c r="R150" s="15">
        <f t="shared" si="48"/>
        <v>0.8749767072</v>
      </c>
      <c r="S150" s="15">
        <f t="shared" si="48"/>
        <v>0.7134932203</v>
      </c>
      <c r="T150" s="15">
        <f t="shared" si="48"/>
        <v>0.5372780584</v>
      </c>
      <c r="U150" s="15">
        <f t="shared" si="48"/>
        <v>0</v>
      </c>
      <c r="V150" s="15">
        <f t="shared" si="48"/>
        <v>0.8041747435</v>
      </c>
      <c r="W150" s="15">
        <f t="shared" si="48"/>
        <v>0.3522784844</v>
      </c>
      <c r="X150" s="15">
        <f t="shared" si="48"/>
        <v>0.1199564736</v>
      </c>
      <c r="Y150" s="15">
        <f t="shared" si="48"/>
        <v>0.9745330264</v>
      </c>
      <c r="Z150" s="15">
        <f t="shared" si="48"/>
        <v>0.6410731075</v>
      </c>
      <c r="AA150" s="15">
        <f t="shared" si="5"/>
        <v>1.254405262</v>
      </c>
      <c r="AB150" s="15">
        <f t="shared" si="6"/>
        <v>-1.068125592</v>
      </c>
    </row>
    <row r="151">
      <c r="A151" s="11" t="str">
        <f>redflag_questions!A46</f>
        <v>Sie hat einen niedrigen Sexdrive mit dir und nicht so leidenschaftlich.</v>
      </c>
      <c r="B151" s="15">
        <f t="shared" si="3"/>
        <v>6.073762287</v>
      </c>
      <c r="C151" s="15">
        <f t="shared" ref="C151:Z151" si="49">(C51-$AB151)/($AA151-$AB151)</f>
        <v>0.3666875448</v>
      </c>
      <c r="D151" s="15">
        <f t="shared" si="49"/>
        <v>0.9207217828</v>
      </c>
      <c r="E151" s="15">
        <f t="shared" si="49"/>
        <v>0.5067689764</v>
      </c>
      <c r="F151" s="15">
        <f t="shared" si="49"/>
        <v>0.1441786913</v>
      </c>
      <c r="G151" s="15">
        <f t="shared" si="49"/>
        <v>0.7554772303</v>
      </c>
      <c r="H151" s="15">
        <f t="shared" si="49"/>
        <v>0.6161287268</v>
      </c>
      <c r="I151" s="15">
        <f t="shared" si="49"/>
        <v>0.6671793217</v>
      </c>
      <c r="J151" s="15">
        <f t="shared" si="49"/>
        <v>1</v>
      </c>
      <c r="K151" s="15">
        <f t="shared" si="49"/>
        <v>0.4757712357</v>
      </c>
      <c r="L151" s="15">
        <f t="shared" si="49"/>
        <v>0.9382213355</v>
      </c>
      <c r="M151" s="15">
        <f t="shared" si="49"/>
        <v>0.3416868284</v>
      </c>
      <c r="N151" s="15">
        <f t="shared" si="49"/>
        <v>0.7573851143</v>
      </c>
      <c r="O151" s="15">
        <f t="shared" si="49"/>
        <v>0.6687990128</v>
      </c>
      <c r="P151" s="15">
        <f t="shared" si="49"/>
        <v>0.9830904764</v>
      </c>
      <c r="Q151" s="15">
        <f t="shared" si="49"/>
        <v>0.319501333</v>
      </c>
      <c r="R151" s="15">
        <f t="shared" si="49"/>
        <v>0.6645374942</v>
      </c>
      <c r="S151" s="15">
        <f t="shared" si="49"/>
        <v>0.7457940098</v>
      </c>
      <c r="T151" s="15">
        <f t="shared" si="49"/>
        <v>0.5919069556</v>
      </c>
      <c r="U151" s="15">
        <f t="shared" si="49"/>
        <v>0.9078366435</v>
      </c>
      <c r="V151" s="15">
        <f t="shared" si="49"/>
        <v>0.5661438834</v>
      </c>
      <c r="W151" s="15">
        <f t="shared" si="49"/>
        <v>0.4303485563</v>
      </c>
      <c r="X151" s="15">
        <f t="shared" si="49"/>
        <v>0.8580640025</v>
      </c>
      <c r="Y151" s="15">
        <f t="shared" si="49"/>
        <v>0</v>
      </c>
      <c r="Z151" s="15">
        <f t="shared" si="49"/>
        <v>0.350800332</v>
      </c>
      <c r="AA151" s="15">
        <f t="shared" si="5"/>
        <v>1.265049436</v>
      </c>
      <c r="AB151" s="15">
        <f t="shared" si="6"/>
        <v>-1.394467002</v>
      </c>
    </row>
    <row r="152">
      <c r="A152" s="11" t="str">
        <f>redflag_questions!A47</f>
        <v>Sie reist viel und bevorzugt alleine in der Beziehung.</v>
      </c>
      <c r="B152" s="15">
        <f t="shared" si="3"/>
        <v>4.704645746</v>
      </c>
      <c r="C152" s="15">
        <f t="shared" ref="C152:Z152" si="50">(C52-$AB152)/($AA152-$AB152)</f>
        <v>0.1992611424</v>
      </c>
      <c r="D152" s="15">
        <f t="shared" si="50"/>
        <v>0.1719605014</v>
      </c>
      <c r="E152" s="15">
        <f t="shared" si="50"/>
        <v>0.6796862123</v>
      </c>
      <c r="F152" s="15">
        <f t="shared" si="50"/>
        <v>0.02673156838</v>
      </c>
      <c r="G152" s="15">
        <f t="shared" si="50"/>
        <v>0.5507866754</v>
      </c>
      <c r="H152" s="15">
        <f t="shared" si="50"/>
        <v>0.8031301922</v>
      </c>
      <c r="I152" s="15">
        <f t="shared" si="50"/>
        <v>0</v>
      </c>
      <c r="J152" s="15">
        <f t="shared" si="50"/>
        <v>0.267913004</v>
      </c>
      <c r="K152" s="15">
        <f t="shared" si="50"/>
        <v>0.7438115374</v>
      </c>
      <c r="L152" s="15">
        <f t="shared" si="50"/>
        <v>0.6145691277</v>
      </c>
      <c r="M152" s="15">
        <f t="shared" si="50"/>
        <v>0.3745267527</v>
      </c>
      <c r="N152" s="15">
        <f t="shared" si="50"/>
        <v>0.2122532038</v>
      </c>
      <c r="O152" s="15">
        <f t="shared" si="50"/>
        <v>0.5464058658</v>
      </c>
      <c r="P152" s="15">
        <f t="shared" si="50"/>
        <v>0.2563004497</v>
      </c>
      <c r="Q152" s="15">
        <f t="shared" si="50"/>
        <v>0.3538961245</v>
      </c>
      <c r="R152" s="15">
        <f t="shared" si="50"/>
        <v>0.4680503005</v>
      </c>
      <c r="S152" s="15">
        <f t="shared" si="50"/>
        <v>0.8974134137</v>
      </c>
      <c r="T152" s="15">
        <f t="shared" si="50"/>
        <v>0.6072102405</v>
      </c>
      <c r="U152" s="15">
        <f t="shared" si="50"/>
        <v>0.9009980444</v>
      </c>
      <c r="V152" s="15">
        <f t="shared" si="50"/>
        <v>0.3425521798</v>
      </c>
      <c r="W152" s="15">
        <f t="shared" si="50"/>
        <v>0.7640407133</v>
      </c>
      <c r="X152" s="15">
        <f t="shared" si="50"/>
        <v>0.1510282198</v>
      </c>
      <c r="Y152" s="15">
        <f t="shared" si="50"/>
        <v>0.3586243196</v>
      </c>
      <c r="Z152" s="15">
        <f t="shared" si="50"/>
        <v>1</v>
      </c>
      <c r="AA152" s="15">
        <f t="shared" si="5"/>
        <v>1.303080714</v>
      </c>
      <c r="AB152" s="15">
        <f t="shared" si="6"/>
        <v>-1.556875306</v>
      </c>
    </row>
    <row r="153">
      <c r="A153" s="11" t="str">
        <f>redflag_questions!A48</f>
        <v>Sie war in der Vergangenheit lange auf Dating Apps wie z.B. Tinder und Bumble unterwegs.</v>
      </c>
      <c r="B153" s="15">
        <f t="shared" si="3"/>
        <v>4.711580733</v>
      </c>
      <c r="C153" s="15">
        <f t="shared" ref="C153:Z153" si="51">(C53-$AB153)/($AA153-$AB153)</f>
        <v>1.05896898</v>
      </c>
      <c r="D153" s="15">
        <f t="shared" si="51"/>
        <v>0.8713411374</v>
      </c>
      <c r="E153" s="15">
        <f t="shared" si="51"/>
        <v>0.3515268266</v>
      </c>
      <c r="F153" s="15">
        <f t="shared" si="51"/>
        <v>0.1692629466</v>
      </c>
      <c r="G153" s="15">
        <f t="shared" si="51"/>
        <v>0.6516358512</v>
      </c>
      <c r="H153" s="15">
        <f t="shared" si="51"/>
        <v>0.7243042757</v>
      </c>
      <c r="I153" s="15">
        <f t="shared" si="51"/>
        <v>0.4563293347</v>
      </c>
      <c r="J153" s="15">
        <f t="shared" si="51"/>
        <v>0.2589376922</v>
      </c>
      <c r="K153" s="15">
        <f t="shared" si="51"/>
        <v>0.4915935905</v>
      </c>
      <c r="L153" s="15">
        <f t="shared" si="51"/>
        <v>1</v>
      </c>
      <c r="M153" s="15">
        <f t="shared" si="51"/>
        <v>0.4893952591</v>
      </c>
      <c r="N153" s="15">
        <f t="shared" si="51"/>
        <v>0.003239042139</v>
      </c>
      <c r="O153" s="15">
        <f t="shared" si="51"/>
        <v>0.6476034817</v>
      </c>
      <c r="P153" s="15">
        <f t="shared" si="51"/>
        <v>0.5121390988</v>
      </c>
      <c r="Q153" s="15">
        <f t="shared" si="51"/>
        <v>0.1215458992</v>
      </c>
      <c r="R153" s="15">
        <f t="shared" si="51"/>
        <v>0.7657398437</v>
      </c>
      <c r="S153" s="15">
        <f t="shared" si="51"/>
        <v>0.02288456861</v>
      </c>
      <c r="T153" s="15">
        <f t="shared" si="51"/>
        <v>0.2336075743</v>
      </c>
      <c r="U153" s="15">
        <f t="shared" si="51"/>
        <v>0.301959138</v>
      </c>
      <c r="V153" s="15">
        <f t="shared" si="51"/>
        <v>0.2384080855</v>
      </c>
      <c r="W153" s="15">
        <f t="shared" si="51"/>
        <v>0</v>
      </c>
      <c r="X153" s="15">
        <f t="shared" si="51"/>
        <v>0.8234365459</v>
      </c>
      <c r="Y153" s="15">
        <f t="shared" si="51"/>
        <v>0.4747576709</v>
      </c>
      <c r="Z153" s="15">
        <f t="shared" si="51"/>
        <v>0.6391769152</v>
      </c>
      <c r="AA153" s="15">
        <f t="shared" si="5"/>
        <v>1.100748063</v>
      </c>
      <c r="AB153" s="15">
        <f t="shared" si="6"/>
        <v>-2.006338889</v>
      </c>
    </row>
    <row r="154">
      <c r="A154" s="11" t="str">
        <f>redflag_questions!A49</f>
        <v>Sie postet in Social Media sogenannte Thirst traps (Fotos die dazu dienen die männliche Aufmerksamkeit zu erregen).</v>
      </c>
      <c r="B154" s="15">
        <f t="shared" si="3"/>
        <v>5.914187508</v>
      </c>
      <c r="C154" s="15">
        <f t="shared" ref="C154:Z154" si="52">(C54-$AB154)/($AA154-$AB154)</f>
        <v>0.5254533975</v>
      </c>
      <c r="D154" s="15">
        <f t="shared" si="52"/>
        <v>0.8338972044</v>
      </c>
      <c r="E154" s="15">
        <f t="shared" si="52"/>
        <v>0.9020745635</v>
      </c>
      <c r="F154" s="15">
        <f t="shared" si="52"/>
        <v>0.1305825602</v>
      </c>
      <c r="G154" s="15">
        <f t="shared" si="52"/>
        <v>0.6842353055</v>
      </c>
      <c r="H154" s="15">
        <f t="shared" si="52"/>
        <v>0.7269078434</v>
      </c>
      <c r="I154" s="15">
        <f t="shared" si="52"/>
        <v>0.9340500167</v>
      </c>
      <c r="J154" s="15">
        <f t="shared" si="52"/>
        <v>0.06561386234</v>
      </c>
      <c r="K154" s="15">
        <f t="shared" si="52"/>
        <v>0.5500198174</v>
      </c>
      <c r="L154" s="15">
        <f t="shared" si="52"/>
        <v>0.8497465396</v>
      </c>
      <c r="M154" s="15">
        <f t="shared" si="52"/>
        <v>0.3094655696</v>
      </c>
      <c r="N154" s="15">
        <f t="shared" si="52"/>
        <v>0.685963275</v>
      </c>
      <c r="O154" s="15">
        <f t="shared" si="52"/>
        <v>0.2191446676</v>
      </c>
      <c r="P154" s="15">
        <f t="shared" si="52"/>
        <v>0.6119578857</v>
      </c>
      <c r="Q154" s="15">
        <f t="shared" si="52"/>
        <v>0.7815525638</v>
      </c>
      <c r="R154" s="15">
        <f t="shared" si="52"/>
        <v>0.6018712374</v>
      </c>
      <c r="S154" s="15">
        <f t="shared" si="52"/>
        <v>0.1023826634</v>
      </c>
      <c r="T154" s="15">
        <f t="shared" si="52"/>
        <v>0.7847289166</v>
      </c>
      <c r="U154" s="15">
        <f t="shared" si="52"/>
        <v>1</v>
      </c>
      <c r="V154" s="15">
        <f t="shared" si="52"/>
        <v>0.3955399192</v>
      </c>
      <c r="W154" s="15">
        <f t="shared" si="52"/>
        <v>0.6888362848</v>
      </c>
      <c r="X154" s="15">
        <f t="shared" si="52"/>
        <v>0.8913749172</v>
      </c>
      <c r="Y154" s="15">
        <f t="shared" si="52"/>
        <v>0</v>
      </c>
      <c r="Z154" s="15">
        <f t="shared" si="52"/>
        <v>0.9186510089</v>
      </c>
      <c r="AA154" s="15">
        <f t="shared" si="5"/>
        <v>1.541955741</v>
      </c>
      <c r="AB154" s="15">
        <f t="shared" si="6"/>
        <v>-1.394467002</v>
      </c>
    </row>
    <row r="155">
      <c r="A155" s="11" t="str">
        <f>redflag_questions!A50</f>
        <v>Sie ist ein langzeit Single (4+ Jahre).</v>
      </c>
      <c r="B155" s="15">
        <f t="shared" si="3"/>
        <v>5.395200945</v>
      </c>
      <c r="C155" s="15">
        <f t="shared" ref="C155:Z155" si="53">(C55-$AB155)/($AA155-$AB155)</f>
        <v>1.317775079</v>
      </c>
      <c r="D155" s="15">
        <f t="shared" si="53"/>
        <v>-0.05034234583</v>
      </c>
      <c r="E155" s="15">
        <f t="shared" si="53"/>
        <v>0.1562081482</v>
      </c>
      <c r="F155" s="15">
        <f t="shared" si="53"/>
        <v>0.3374227113</v>
      </c>
      <c r="G155" s="15">
        <f t="shared" si="53"/>
        <v>0.8805207051</v>
      </c>
      <c r="H155" s="15">
        <f t="shared" si="53"/>
        <v>0.4799691629</v>
      </c>
      <c r="I155" s="15">
        <f t="shared" si="53"/>
        <v>0</v>
      </c>
      <c r="J155" s="15">
        <f t="shared" si="53"/>
        <v>1</v>
      </c>
      <c r="K155" s="15">
        <f t="shared" si="53"/>
        <v>0.09814835478</v>
      </c>
      <c r="L155" s="15">
        <f t="shared" si="53"/>
        <v>0.5367632682</v>
      </c>
      <c r="M155" s="15">
        <f t="shared" si="53"/>
        <v>0.9360656968</v>
      </c>
      <c r="N155" s="15">
        <f t="shared" si="53"/>
        <v>0.656752106</v>
      </c>
      <c r="O155" s="15">
        <f t="shared" si="53"/>
        <v>0.7764440362</v>
      </c>
      <c r="P155" s="15">
        <f t="shared" si="53"/>
        <v>0.24051276</v>
      </c>
      <c r="Q155" s="15">
        <f t="shared" si="53"/>
        <v>0.2481924943</v>
      </c>
      <c r="R155" s="15">
        <f t="shared" si="53"/>
        <v>0.7412602506</v>
      </c>
      <c r="S155" s="15">
        <f t="shared" si="53"/>
        <v>0.06369717418</v>
      </c>
      <c r="T155" s="15">
        <f t="shared" si="53"/>
        <v>0.457746273</v>
      </c>
      <c r="U155" s="15">
        <f t="shared" si="53"/>
        <v>0.8997358623</v>
      </c>
      <c r="V155" s="15">
        <f t="shared" si="53"/>
        <v>0.4667231623</v>
      </c>
      <c r="W155" s="15">
        <f t="shared" si="53"/>
        <v>0.8137102684</v>
      </c>
      <c r="X155" s="15">
        <f t="shared" si="53"/>
        <v>0.5513685099</v>
      </c>
      <c r="Y155" s="15">
        <f t="shared" si="53"/>
        <v>0.3891556573</v>
      </c>
      <c r="Z155" s="15">
        <f t="shared" si="53"/>
        <v>0.9506529334</v>
      </c>
      <c r="AA155" s="15">
        <f t="shared" si="5"/>
        <v>-0.3795148309</v>
      </c>
      <c r="AB155" s="15">
        <f t="shared" si="6"/>
        <v>-2.041070976</v>
      </c>
    </row>
    <row r="156">
      <c r="A156" s="11" t="str">
        <f>redflag_questions!A51</f>
        <v>Sie ist ein frischer Single (0-4 Monate).</v>
      </c>
      <c r="B156" s="15">
        <f t="shared" si="3"/>
        <v>4.251136493</v>
      </c>
      <c r="C156" s="15">
        <f t="shared" ref="C156:Z156" si="54">(C56-$AB156)/($AA156-$AB156)</f>
        <v>-0.04952306155</v>
      </c>
      <c r="D156" s="15">
        <f t="shared" si="54"/>
        <v>0.5040026733</v>
      </c>
      <c r="E156" s="15">
        <f t="shared" si="54"/>
        <v>0.765009115</v>
      </c>
      <c r="F156" s="15">
        <f t="shared" si="54"/>
        <v>0.2024194218</v>
      </c>
      <c r="G156" s="15">
        <f t="shared" si="54"/>
        <v>0.3224940028</v>
      </c>
      <c r="H156" s="15">
        <f t="shared" si="54"/>
        <v>0.6845436529</v>
      </c>
      <c r="I156" s="15">
        <f t="shared" si="54"/>
        <v>0.5524160834</v>
      </c>
      <c r="J156" s="15">
        <f t="shared" si="54"/>
        <v>0.6344154122</v>
      </c>
      <c r="K156" s="15">
        <f t="shared" si="54"/>
        <v>0.04641413091</v>
      </c>
      <c r="L156" s="15">
        <f t="shared" si="54"/>
        <v>0.5089643997</v>
      </c>
      <c r="M156" s="15">
        <f t="shared" si="54"/>
        <v>0.4469730887</v>
      </c>
      <c r="N156" s="15">
        <f t="shared" si="54"/>
        <v>0</v>
      </c>
      <c r="O156" s="15">
        <f t="shared" si="54"/>
        <v>0.488658409</v>
      </c>
      <c r="P156" s="15">
        <f t="shared" si="54"/>
        <v>0.1392347773</v>
      </c>
      <c r="Q156" s="15">
        <f t="shared" si="54"/>
        <v>0.2860206291</v>
      </c>
      <c r="R156" s="15">
        <f t="shared" si="54"/>
        <v>0.9296551113</v>
      </c>
      <c r="S156" s="15">
        <f t="shared" si="54"/>
        <v>0.02395219003</v>
      </c>
      <c r="T156" s="15">
        <f t="shared" si="54"/>
        <v>0.2808695846</v>
      </c>
      <c r="U156" s="15">
        <f t="shared" si="54"/>
        <v>0.9787214256</v>
      </c>
      <c r="V156" s="15">
        <f t="shared" si="54"/>
        <v>0.2867224568</v>
      </c>
      <c r="W156" s="15">
        <f t="shared" si="54"/>
        <v>0.5129557449</v>
      </c>
      <c r="X156" s="15">
        <f t="shared" si="54"/>
        <v>1</v>
      </c>
      <c r="Y156" s="15">
        <f t="shared" si="54"/>
        <v>0.5748842524</v>
      </c>
      <c r="Z156" s="15">
        <f t="shared" si="54"/>
        <v>0.08292408235</v>
      </c>
      <c r="AA156" s="15">
        <f t="shared" si="5"/>
        <v>0.5521500582</v>
      </c>
      <c r="AB156" s="15">
        <f t="shared" si="6"/>
        <v>-1.996274904</v>
      </c>
    </row>
    <row r="157">
      <c r="A157" s="11" t="str">
        <f>redflag_questions!A52</f>
        <v>Sie hatte in der Vergangenheit viele kurze Beziehungen (jeweils zwischen 3-8 Monate)</v>
      </c>
      <c r="B157" s="15">
        <f t="shared" si="3"/>
        <v>5.016402056</v>
      </c>
      <c r="C157" s="15">
        <f t="shared" ref="C157:Z157" si="55">(C57-$AB157)/($AA157-$AB157)</f>
        <v>0.2396886387</v>
      </c>
      <c r="D157" s="15">
        <f t="shared" si="55"/>
        <v>0.949651454</v>
      </c>
      <c r="E157" s="15">
        <f t="shared" si="55"/>
        <v>1</v>
      </c>
      <c r="F157" s="15">
        <f t="shared" si="55"/>
        <v>0.4270132406</v>
      </c>
      <c r="G157" s="15">
        <f t="shared" si="55"/>
        <v>0.1608579787</v>
      </c>
      <c r="H157" s="15">
        <f t="shared" si="55"/>
        <v>0.3403483537</v>
      </c>
      <c r="I157" s="15">
        <f t="shared" si="55"/>
        <v>0</v>
      </c>
      <c r="J157" s="15">
        <f t="shared" si="55"/>
        <v>0.668117918</v>
      </c>
      <c r="K157" s="15">
        <f t="shared" si="55"/>
        <v>0.4533862076</v>
      </c>
      <c r="L157" s="15">
        <f t="shared" si="55"/>
        <v>0.7392572169</v>
      </c>
      <c r="M157" s="15">
        <f t="shared" si="55"/>
        <v>0.1380504479</v>
      </c>
      <c r="N157" s="15">
        <f t="shared" si="55"/>
        <v>0.6954430988</v>
      </c>
      <c r="O157" s="15">
        <f t="shared" si="55"/>
        <v>0.8164154438</v>
      </c>
      <c r="P157" s="15">
        <f t="shared" si="55"/>
        <v>0.4802356812</v>
      </c>
      <c r="Q157" s="15">
        <f t="shared" si="55"/>
        <v>0.1217636945</v>
      </c>
      <c r="R157" s="15">
        <f t="shared" si="55"/>
        <v>0.8116485822</v>
      </c>
      <c r="S157" s="15">
        <f t="shared" si="55"/>
        <v>0.3717021102</v>
      </c>
      <c r="T157" s="15">
        <f t="shared" si="55"/>
        <v>0.4233239063</v>
      </c>
      <c r="U157" s="15">
        <f t="shared" si="55"/>
        <v>0.4251244617</v>
      </c>
      <c r="V157" s="15">
        <f t="shared" si="55"/>
        <v>0.4120515654</v>
      </c>
      <c r="W157" s="15">
        <f t="shared" si="55"/>
        <v>0.5496888521</v>
      </c>
      <c r="X157" s="15">
        <f t="shared" si="55"/>
        <v>0.7459726382</v>
      </c>
      <c r="Y157" s="15">
        <f t="shared" si="55"/>
        <v>0.7944607303</v>
      </c>
      <c r="Z157" s="15">
        <f t="shared" si="55"/>
        <v>0.2751627145</v>
      </c>
      <c r="AA157" s="15">
        <f t="shared" si="5"/>
        <v>0.8207013154</v>
      </c>
      <c r="AB157" s="15">
        <f t="shared" si="6"/>
        <v>-1.556875306</v>
      </c>
    </row>
    <row r="158">
      <c r="A158" s="11" t="str">
        <f>redflag_questions!A53</f>
        <v>Sie regiert häufig über und steigert sich häufig in Probleme.</v>
      </c>
      <c r="B158" s="15">
        <f t="shared" si="3"/>
        <v>5.581106072</v>
      </c>
      <c r="C158" s="15">
        <f t="shared" ref="C158:Z158" si="56">(C58-$AB158)/($AA158-$AB158)</f>
        <v>0.1546057261</v>
      </c>
      <c r="D158" s="15">
        <f t="shared" si="56"/>
        <v>0.5799231251</v>
      </c>
      <c r="E158" s="15">
        <f t="shared" si="56"/>
        <v>0.1861862649</v>
      </c>
      <c r="F158" s="15">
        <f t="shared" si="56"/>
        <v>0.5509861768</v>
      </c>
      <c r="G158" s="15">
        <f t="shared" si="56"/>
        <v>0.3318109844</v>
      </c>
      <c r="H158" s="15">
        <f t="shared" si="56"/>
        <v>0.6880640198</v>
      </c>
      <c r="I158" s="15">
        <f t="shared" si="56"/>
        <v>0.5370889707</v>
      </c>
      <c r="J158" s="15">
        <f t="shared" si="56"/>
        <v>0.5959815814</v>
      </c>
      <c r="K158" s="15">
        <f t="shared" si="56"/>
        <v>0.8294325531</v>
      </c>
      <c r="L158" s="15">
        <f t="shared" si="56"/>
        <v>0.6692706175</v>
      </c>
      <c r="M158" s="15">
        <f t="shared" si="56"/>
        <v>0.3718013002</v>
      </c>
      <c r="N158" s="15">
        <f t="shared" si="56"/>
        <v>0.8508457579</v>
      </c>
      <c r="O158" s="15">
        <f t="shared" si="56"/>
        <v>0.5848002028</v>
      </c>
      <c r="P158" s="15">
        <f t="shared" si="56"/>
        <v>0.9338143659</v>
      </c>
      <c r="Q158" s="15">
        <f t="shared" si="56"/>
        <v>0.5027939815</v>
      </c>
      <c r="R158" s="15">
        <f t="shared" si="56"/>
        <v>1</v>
      </c>
      <c r="S158" s="15">
        <f t="shared" si="56"/>
        <v>0.8374883432</v>
      </c>
      <c r="T158" s="15">
        <f t="shared" si="56"/>
        <v>0.6601512145</v>
      </c>
      <c r="U158" s="15">
        <f t="shared" si="56"/>
        <v>0.1194522919</v>
      </c>
      <c r="V158" s="15">
        <f t="shared" si="56"/>
        <v>0.7796047378</v>
      </c>
      <c r="W158" s="15">
        <f t="shared" si="56"/>
        <v>0.6642375165</v>
      </c>
      <c r="X158" s="15">
        <f t="shared" si="56"/>
        <v>0.2401725317</v>
      </c>
      <c r="Y158" s="15">
        <f t="shared" si="56"/>
        <v>0.7261423094</v>
      </c>
      <c r="Z158" s="15">
        <f t="shared" si="56"/>
        <v>0</v>
      </c>
      <c r="AA158" s="15">
        <f t="shared" si="5"/>
        <v>0.9640348075</v>
      </c>
      <c r="AB158" s="15">
        <f t="shared" si="6"/>
        <v>-1.343801986</v>
      </c>
    </row>
    <row r="159">
      <c r="A159" s="11" t="str">
        <f>redflag_questions!A54</f>
        <v>Sie zeigt nicht viel Empathie für deine Gefühle.</v>
      </c>
      <c r="B159" s="15">
        <f t="shared" si="3"/>
        <v>5.982399014</v>
      </c>
      <c r="C159" s="15">
        <f t="shared" ref="C159:Z159" si="57">(C59-$AB159)/($AA159-$AB159)</f>
        <v>0.1429471313</v>
      </c>
      <c r="D159" s="15">
        <f t="shared" si="57"/>
        <v>0.5741162791</v>
      </c>
      <c r="E159" s="15">
        <f t="shared" si="57"/>
        <v>0.7871170516</v>
      </c>
      <c r="F159" s="15">
        <f t="shared" si="57"/>
        <v>0.8185189286</v>
      </c>
      <c r="G159" s="15">
        <f t="shared" si="57"/>
        <v>1</v>
      </c>
      <c r="H159" s="15">
        <f t="shared" si="57"/>
        <v>0.3982783129</v>
      </c>
      <c r="I159" s="15">
        <f t="shared" si="57"/>
        <v>0.4505343542</v>
      </c>
      <c r="J159" s="15">
        <f t="shared" si="57"/>
        <v>0</v>
      </c>
      <c r="K159" s="15">
        <f t="shared" si="57"/>
        <v>0.5238497502</v>
      </c>
      <c r="L159" s="15">
        <f t="shared" si="57"/>
        <v>0.5547806926</v>
      </c>
      <c r="M159" s="15">
        <f t="shared" si="57"/>
        <v>0.4032902253</v>
      </c>
      <c r="N159" s="15">
        <f t="shared" si="57"/>
        <v>0.7442495564</v>
      </c>
      <c r="O159" s="15">
        <f t="shared" si="57"/>
        <v>0.7434696408</v>
      </c>
      <c r="P159" s="15">
        <f t="shared" si="57"/>
        <v>0.1445549078</v>
      </c>
      <c r="Q159" s="15">
        <f t="shared" si="57"/>
        <v>0.6509042491</v>
      </c>
      <c r="R159" s="15">
        <f t="shared" si="57"/>
        <v>0.9028844452</v>
      </c>
      <c r="S159" s="15">
        <f t="shared" si="57"/>
        <v>0.5310053535</v>
      </c>
      <c r="T159" s="15">
        <f t="shared" si="57"/>
        <v>0.6544941324</v>
      </c>
      <c r="U159" s="15">
        <f t="shared" si="57"/>
        <v>0.6968742641</v>
      </c>
      <c r="V159" s="15">
        <f t="shared" si="57"/>
        <v>0.7445433174</v>
      </c>
      <c r="W159" s="15">
        <f t="shared" si="57"/>
        <v>0.5461172042</v>
      </c>
      <c r="X159" s="15">
        <f t="shared" si="57"/>
        <v>0.7750244143</v>
      </c>
      <c r="Y159" s="15">
        <f t="shared" si="57"/>
        <v>0.7643518316</v>
      </c>
      <c r="Z159" s="15">
        <f t="shared" si="57"/>
        <v>0.8058515903</v>
      </c>
      <c r="AA159" s="15">
        <f t="shared" si="5"/>
        <v>1.807510609</v>
      </c>
      <c r="AB159" s="15">
        <f t="shared" si="6"/>
        <v>-0.7906558978</v>
      </c>
    </row>
    <row r="160">
      <c r="A160" s="11" t="str">
        <f>redflag_questions!A55</f>
        <v>Sie ist oft irritiert und abweisend von unterschiedlichen Standpunkten zu Meinungen die ihr nicht gefallen.</v>
      </c>
      <c r="B160" s="15">
        <f t="shared" si="3"/>
        <v>5.03997149</v>
      </c>
      <c r="C160" s="15">
        <f t="shared" ref="C160:Z160" si="58">(C60-$AB160)/($AA160-$AB160)</f>
        <v>0.9665226867</v>
      </c>
      <c r="D160" s="15">
        <f t="shared" si="58"/>
        <v>0.3383924975</v>
      </c>
      <c r="E160" s="15">
        <f t="shared" si="58"/>
        <v>0.6235241682</v>
      </c>
      <c r="F160" s="15">
        <f t="shared" si="58"/>
        <v>0.447922964</v>
      </c>
      <c r="G160" s="15">
        <f t="shared" si="58"/>
        <v>0.02644348472</v>
      </c>
      <c r="H160" s="15">
        <f t="shared" si="58"/>
        <v>0</v>
      </c>
      <c r="I160" s="15">
        <f t="shared" si="58"/>
        <v>0.2505041772</v>
      </c>
      <c r="J160" s="15">
        <f t="shared" si="58"/>
        <v>0.6448503584</v>
      </c>
      <c r="K160" s="15">
        <f t="shared" si="58"/>
        <v>0.827404196</v>
      </c>
      <c r="L160" s="15">
        <f t="shared" si="58"/>
        <v>0.5523098294</v>
      </c>
      <c r="M160" s="15">
        <f t="shared" si="58"/>
        <v>1</v>
      </c>
      <c r="N160" s="15">
        <f t="shared" si="58"/>
        <v>0.9126272683</v>
      </c>
      <c r="O160" s="15">
        <f t="shared" si="58"/>
        <v>0.6224601894</v>
      </c>
      <c r="P160" s="15">
        <f t="shared" si="58"/>
        <v>0.4731330784</v>
      </c>
      <c r="Q160" s="15">
        <f t="shared" si="58"/>
        <v>0.5435573676</v>
      </c>
      <c r="R160" s="15">
        <f t="shared" si="58"/>
        <v>0.3920716761</v>
      </c>
      <c r="S160" s="15">
        <f t="shared" si="58"/>
        <v>0.05726264412</v>
      </c>
      <c r="T160" s="15">
        <f t="shared" si="58"/>
        <v>0.8234527391</v>
      </c>
      <c r="U160" s="15">
        <f t="shared" si="58"/>
        <v>0.0670912223</v>
      </c>
      <c r="V160" s="15">
        <f t="shared" si="58"/>
        <v>0.6496804802</v>
      </c>
      <c r="W160" s="15">
        <f t="shared" si="58"/>
        <v>0.3799589401</v>
      </c>
      <c r="X160" s="15">
        <f t="shared" si="58"/>
        <v>0.4301527827</v>
      </c>
      <c r="Y160" s="15">
        <f t="shared" si="58"/>
        <v>0.7675494733</v>
      </c>
      <c r="Z160" s="15">
        <f t="shared" si="58"/>
        <v>0.2990593518</v>
      </c>
      <c r="AA160" s="15">
        <f t="shared" si="5"/>
        <v>1.371516043</v>
      </c>
      <c r="AB160" s="15">
        <f t="shared" si="6"/>
        <v>-1.243575264</v>
      </c>
    </row>
    <row r="161">
      <c r="A161" s="11" t="str">
        <f>redflag_questions!A56</f>
        <v>Sie benutzt dich als Vertrauter ist aber kein Vertrauter für dich.</v>
      </c>
      <c r="B161" s="15">
        <f t="shared" si="3"/>
        <v>7.008570556</v>
      </c>
      <c r="C161" s="15">
        <f t="shared" ref="C161:Z161" si="59">(C61-$AB161)/($AA161-$AB161)</f>
        <v>0.7478457682</v>
      </c>
      <c r="D161" s="15">
        <f t="shared" si="59"/>
        <v>0.6375295333</v>
      </c>
      <c r="E161" s="15">
        <f t="shared" si="59"/>
        <v>0</v>
      </c>
      <c r="F161" s="15">
        <f t="shared" si="59"/>
        <v>0.7928652269</v>
      </c>
      <c r="G161" s="15">
        <f t="shared" si="59"/>
        <v>0.3603329971</v>
      </c>
      <c r="H161" s="15">
        <f t="shared" si="59"/>
        <v>0.4580206401</v>
      </c>
      <c r="I161" s="15">
        <f t="shared" si="59"/>
        <v>0.502176834</v>
      </c>
      <c r="J161" s="15">
        <f t="shared" si="59"/>
        <v>0.9121671274</v>
      </c>
      <c r="K161" s="15">
        <f t="shared" si="59"/>
        <v>0.8089052421</v>
      </c>
      <c r="L161" s="15">
        <f t="shared" si="59"/>
        <v>0.8629740272</v>
      </c>
      <c r="M161" s="15">
        <f t="shared" si="59"/>
        <v>0.6103970238</v>
      </c>
      <c r="N161" s="15">
        <f t="shared" si="59"/>
        <v>0.718977804</v>
      </c>
      <c r="O161" s="15">
        <f t="shared" si="59"/>
        <v>0.7617324288</v>
      </c>
      <c r="P161" s="15">
        <f t="shared" si="59"/>
        <v>0.898702416</v>
      </c>
      <c r="Q161" s="15">
        <f t="shared" si="59"/>
        <v>0.5866592685</v>
      </c>
      <c r="R161" s="15">
        <f t="shared" si="59"/>
        <v>0.8220410227</v>
      </c>
      <c r="S161" s="15">
        <f t="shared" si="59"/>
        <v>0.7097480421</v>
      </c>
      <c r="T161" s="15">
        <f t="shared" si="59"/>
        <v>0.5872108952</v>
      </c>
      <c r="U161" s="15">
        <f t="shared" si="59"/>
        <v>0.9950750136</v>
      </c>
      <c r="V161" s="15">
        <f t="shared" si="59"/>
        <v>0.772806493</v>
      </c>
      <c r="W161" s="15">
        <f t="shared" si="59"/>
        <v>0.8529729724</v>
      </c>
      <c r="X161" s="15">
        <f t="shared" si="59"/>
        <v>1</v>
      </c>
      <c r="Y161" s="15">
        <f t="shared" si="59"/>
        <v>0.7620402791</v>
      </c>
      <c r="Z161" s="15">
        <f t="shared" si="59"/>
        <v>0.6593882779</v>
      </c>
      <c r="AA161" s="15">
        <f t="shared" si="5"/>
        <v>1.558404837</v>
      </c>
      <c r="AB161" s="15">
        <f t="shared" si="6"/>
        <v>-1.781522367</v>
      </c>
    </row>
    <row r="162">
      <c r="A162" s="11" t="str">
        <f>redflag_questions!A57</f>
        <v>Sie zeigt inkonsistenes Verhalten. Ihre Aussagen entsprechen nicht wie sich selbst gegenüber dir verhält.</v>
      </c>
      <c r="B162" s="15">
        <f t="shared" si="3"/>
        <v>6.345388579</v>
      </c>
      <c r="C162" s="15">
        <f t="shared" ref="C162:Z162" si="60">(C62-$AB162)/($AA162-$AB162)</f>
        <v>1.036598918</v>
      </c>
      <c r="D162" s="15">
        <f t="shared" si="60"/>
        <v>0.6503671596</v>
      </c>
      <c r="E162" s="15">
        <f t="shared" si="60"/>
        <v>0.1297637604</v>
      </c>
      <c r="F162" s="15">
        <f t="shared" si="60"/>
        <v>0.4770949833</v>
      </c>
      <c r="G162" s="15">
        <f t="shared" si="60"/>
        <v>0.7605022522</v>
      </c>
      <c r="H162" s="15">
        <f t="shared" si="60"/>
        <v>0.8121975522</v>
      </c>
      <c r="I162" s="15">
        <f t="shared" si="60"/>
        <v>0.6636215889</v>
      </c>
      <c r="J162" s="15">
        <f t="shared" si="60"/>
        <v>0.1806974655</v>
      </c>
      <c r="K162" s="15">
        <f t="shared" si="60"/>
        <v>0.8865075479</v>
      </c>
      <c r="L162" s="15">
        <f t="shared" si="60"/>
        <v>0.7753623943</v>
      </c>
      <c r="M162" s="15">
        <f t="shared" si="60"/>
        <v>0</v>
      </c>
      <c r="N162" s="15">
        <f t="shared" si="60"/>
        <v>0.7625955869</v>
      </c>
      <c r="O162" s="15">
        <f t="shared" si="60"/>
        <v>0.6653987176</v>
      </c>
      <c r="P162" s="15">
        <f t="shared" si="60"/>
        <v>0.6729423582</v>
      </c>
      <c r="Q162" s="15">
        <f t="shared" si="60"/>
        <v>0.8783964556</v>
      </c>
      <c r="R162" s="15">
        <f t="shared" si="60"/>
        <v>0.9046074779</v>
      </c>
      <c r="S162" s="15">
        <f t="shared" si="60"/>
        <v>0.749877801</v>
      </c>
      <c r="T162" s="15">
        <f t="shared" si="60"/>
        <v>0.8822444225</v>
      </c>
      <c r="U162" s="15">
        <f t="shared" si="60"/>
        <v>0.2815868769</v>
      </c>
      <c r="V162" s="15">
        <f t="shared" si="60"/>
        <v>0.8367667025</v>
      </c>
      <c r="W162" s="15">
        <f t="shared" si="60"/>
        <v>0.4037703418</v>
      </c>
      <c r="X162" s="15">
        <f t="shared" si="60"/>
        <v>0.3195440246</v>
      </c>
      <c r="Y162" s="15">
        <f t="shared" si="60"/>
        <v>1</v>
      </c>
      <c r="Z162" s="15">
        <f t="shared" si="60"/>
        <v>0.4984882025</v>
      </c>
      <c r="AA162" s="15">
        <f t="shared" si="5"/>
        <v>1.195257431</v>
      </c>
      <c r="AB162" s="15">
        <f t="shared" si="6"/>
        <v>-1.228649789</v>
      </c>
    </row>
    <row r="163">
      <c r="A163" s="11" t="str">
        <f>redflag_questions!A58</f>
        <v>Sie kann nicht mit negativen Gefühlen von anderen Menschen umgehen und nimmt diese direkt auf.</v>
      </c>
      <c r="B163" s="15">
        <f t="shared" si="3"/>
        <v>5.803367438</v>
      </c>
      <c r="C163" s="15">
        <f t="shared" ref="C163:Z163" si="61">(C63-$AB163)/($AA163-$AB163)</f>
        <v>0.7396559885</v>
      </c>
      <c r="D163" s="15">
        <f t="shared" si="61"/>
        <v>0.6745137953</v>
      </c>
      <c r="E163" s="15">
        <f t="shared" si="61"/>
        <v>0.6570464357</v>
      </c>
      <c r="F163" s="15">
        <f t="shared" si="61"/>
        <v>0.6462504144</v>
      </c>
      <c r="G163" s="15">
        <f t="shared" si="61"/>
        <v>0.4321769781</v>
      </c>
      <c r="H163" s="15">
        <f t="shared" si="61"/>
        <v>0.7801374869</v>
      </c>
      <c r="I163" s="15">
        <f t="shared" si="61"/>
        <v>0.6326766945</v>
      </c>
      <c r="J163" s="15">
        <f t="shared" si="61"/>
        <v>0.1681889611</v>
      </c>
      <c r="K163" s="15">
        <f t="shared" si="61"/>
        <v>0.4741272021</v>
      </c>
      <c r="L163" s="15">
        <f t="shared" si="61"/>
        <v>0</v>
      </c>
      <c r="M163" s="15">
        <f t="shared" si="61"/>
        <v>0.156824306</v>
      </c>
      <c r="N163" s="15">
        <f t="shared" si="61"/>
        <v>0.4962580555</v>
      </c>
      <c r="O163" s="15">
        <f t="shared" si="61"/>
        <v>0.5191336004</v>
      </c>
      <c r="P163" s="15">
        <f t="shared" si="61"/>
        <v>0.6741519409</v>
      </c>
      <c r="Q163" s="15">
        <f t="shared" si="61"/>
        <v>0.9050093522</v>
      </c>
      <c r="R163" s="15">
        <f t="shared" si="61"/>
        <v>0.8346244991</v>
      </c>
      <c r="S163" s="15">
        <f t="shared" si="61"/>
        <v>0.5699835771</v>
      </c>
      <c r="T163" s="15">
        <f t="shared" si="61"/>
        <v>0.75287441</v>
      </c>
      <c r="U163" s="15">
        <f t="shared" si="61"/>
        <v>0.2247613736</v>
      </c>
      <c r="V163" s="15">
        <f t="shared" si="61"/>
        <v>0.7238765051</v>
      </c>
      <c r="W163" s="15">
        <f t="shared" si="61"/>
        <v>0.5710306044</v>
      </c>
      <c r="X163" s="15">
        <f t="shared" si="61"/>
        <v>0.6265831024</v>
      </c>
      <c r="Y163" s="15">
        <f t="shared" si="61"/>
        <v>1</v>
      </c>
      <c r="Z163" s="15">
        <f t="shared" si="61"/>
        <v>0.6681965684</v>
      </c>
      <c r="AA163" s="15">
        <f t="shared" si="5"/>
        <v>0.7636366917</v>
      </c>
      <c r="AB163" s="15">
        <f t="shared" si="6"/>
        <v>-1.599200016</v>
      </c>
    </row>
    <row r="164">
      <c r="A164" s="11" t="str">
        <f>redflag_questions!A59</f>
        <v>Fakten und Logik spielen für sie kaum eine Rolle in der Bildung Ihrer Meinung.</v>
      </c>
      <c r="B164" s="15">
        <f t="shared" si="3"/>
        <v>6.326432877</v>
      </c>
      <c r="C164" s="15">
        <f t="shared" ref="C164:Z164" si="62">(C64-$AB164)/($AA164-$AB164)</f>
        <v>0.203651021</v>
      </c>
      <c r="D164" s="15">
        <f t="shared" si="62"/>
        <v>0.1772878707</v>
      </c>
      <c r="E164" s="15">
        <f t="shared" si="62"/>
        <v>0.9604576947</v>
      </c>
      <c r="F164" s="15">
        <f t="shared" si="62"/>
        <v>0.8295122912</v>
      </c>
      <c r="G164" s="15">
        <f t="shared" si="62"/>
        <v>0.1403668942</v>
      </c>
      <c r="H164" s="15">
        <f t="shared" si="62"/>
        <v>0.6193420693</v>
      </c>
      <c r="I164" s="15">
        <f t="shared" si="62"/>
        <v>0.665184601</v>
      </c>
      <c r="J164" s="15">
        <f t="shared" si="62"/>
        <v>0.5475879214</v>
      </c>
      <c r="K164" s="15">
        <f t="shared" si="62"/>
        <v>0.9657001209</v>
      </c>
      <c r="L164" s="15">
        <f t="shared" si="62"/>
        <v>0.4527585313</v>
      </c>
      <c r="M164" s="15">
        <f t="shared" si="62"/>
        <v>1</v>
      </c>
      <c r="N164" s="15">
        <f t="shared" si="62"/>
        <v>0.9228514303</v>
      </c>
      <c r="O164" s="15">
        <f t="shared" si="62"/>
        <v>0.7944031453</v>
      </c>
      <c r="P164" s="15">
        <f t="shared" si="62"/>
        <v>0.5347858691</v>
      </c>
      <c r="Q164" s="15">
        <f t="shared" si="62"/>
        <v>0.840962617</v>
      </c>
      <c r="R164" s="15">
        <f t="shared" si="62"/>
        <v>0.6628122866</v>
      </c>
      <c r="S164" s="15">
        <f t="shared" si="62"/>
        <v>0.7357792011</v>
      </c>
      <c r="T164" s="15">
        <f t="shared" si="62"/>
        <v>0.5975913469</v>
      </c>
      <c r="U164" s="15">
        <f t="shared" si="62"/>
        <v>0</v>
      </c>
      <c r="V164" s="15">
        <f t="shared" si="62"/>
        <v>0.9231091373</v>
      </c>
      <c r="W164" s="15">
        <f t="shared" si="62"/>
        <v>0.7490363381</v>
      </c>
      <c r="X164" s="15">
        <f t="shared" si="62"/>
        <v>0.8365956699</v>
      </c>
      <c r="Y164" s="15">
        <f t="shared" si="62"/>
        <v>0.940486505</v>
      </c>
      <c r="Z164" s="15">
        <f t="shared" si="62"/>
        <v>0.08317634264</v>
      </c>
      <c r="AA164" s="15">
        <f t="shared" si="5"/>
        <v>1.371516043</v>
      </c>
      <c r="AB164" s="15">
        <f t="shared" si="6"/>
        <v>-1.590141858</v>
      </c>
    </row>
    <row r="165">
      <c r="A165" s="11" t="str">
        <f>redflag_questions!A60</f>
        <v>Sie befindet sich gerade in psychologischer Therapie.</v>
      </c>
      <c r="B165" s="15">
        <f t="shared" si="3"/>
        <v>3.971388027</v>
      </c>
      <c r="C165" s="15">
        <f t="shared" ref="C165:Z165" si="63">(C65-$AB165)/($AA165-$AB165)</f>
        <v>0.3558875105</v>
      </c>
      <c r="D165" s="15">
        <f t="shared" si="63"/>
        <v>0.5379558531</v>
      </c>
      <c r="E165" s="15">
        <f t="shared" si="63"/>
        <v>0</v>
      </c>
      <c r="F165" s="15">
        <f t="shared" si="63"/>
        <v>0.8929765993</v>
      </c>
      <c r="G165" s="15">
        <f t="shared" si="63"/>
        <v>0.6471936181</v>
      </c>
      <c r="H165" s="15">
        <f t="shared" si="63"/>
        <v>1</v>
      </c>
      <c r="I165" s="15">
        <f t="shared" si="63"/>
        <v>0.6116582552</v>
      </c>
      <c r="J165" s="15">
        <f t="shared" si="63"/>
        <v>0.2936478585</v>
      </c>
      <c r="K165" s="15">
        <f t="shared" si="63"/>
        <v>0.09771588117</v>
      </c>
      <c r="L165" s="15">
        <f t="shared" si="63"/>
        <v>0.308885665</v>
      </c>
      <c r="M165" s="15">
        <f t="shared" si="63"/>
        <v>0.5011285754</v>
      </c>
      <c r="N165" s="15">
        <f t="shared" si="63"/>
        <v>0.3666539172</v>
      </c>
      <c r="O165" s="15">
        <f t="shared" si="63"/>
        <v>0.09535314048</v>
      </c>
      <c r="P165" s="15">
        <f t="shared" si="63"/>
        <v>0.2847061309</v>
      </c>
      <c r="Q165" s="15">
        <f t="shared" si="63"/>
        <v>0.2746468284</v>
      </c>
      <c r="R165" s="15">
        <f t="shared" si="63"/>
        <v>0.4073401001</v>
      </c>
      <c r="S165" s="15">
        <f t="shared" si="63"/>
        <v>0.9344401378</v>
      </c>
      <c r="T165" s="15">
        <f t="shared" si="63"/>
        <v>0.05928910378</v>
      </c>
      <c r="U165" s="15">
        <f t="shared" si="63"/>
        <v>0.1811223565</v>
      </c>
      <c r="V165" s="15">
        <f t="shared" si="63"/>
        <v>0.1754318468</v>
      </c>
      <c r="W165" s="15">
        <f t="shared" si="63"/>
        <v>0.1877579874</v>
      </c>
      <c r="X165" s="15">
        <f t="shared" si="63"/>
        <v>0.3159173131</v>
      </c>
      <c r="Y165" s="15">
        <f t="shared" si="63"/>
        <v>0.2378204405</v>
      </c>
      <c r="Z165" s="15">
        <f t="shared" si="63"/>
        <v>0.7638021459</v>
      </c>
      <c r="AA165" s="15">
        <f t="shared" si="5"/>
        <v>1.235945968</v>
      </c>
      <c r="AB165" s="15">
        <f t="shared" si="6"/>
        <v>-2.215226315</v>
      </c>
    </row>
    <row r="166">
      <c r="A166" s="11" t="str">
        <f>redflag_questions!A61</f>
        <v>Sie hat häufig keine Zeit für dich.</v>
      </c>
      <c r="B166" s="15">
        <f t="shared" si="3"/>
        <v>5.235979988</v>
      </c>
      <c r="C166" s="15">
        <f t="shared" ref="C166:Z166" si="64">(C66-$AB166)/($AA166-$AB166)</f>
        <v>0.6903788603</v>
      </c>
      <c r="D166" s="15">
        <f t="shared" si="64"/>
        <v>0.5522227199</v>
      </c>
      <c r="E166" s="15">
        <f t="shared" si="64"/>
        <v>0.07905320992</v>
      </c>
      <c r="F166" s="15">
        <f t="shared" si="64"/>
        <v>0.04271624976</v>
      </c>
      <c r="G166" s="15">
        <f t="shared" si="64"/>
        <v>0.6523230417</v>
      </c>
      <c r="H166" s="15">
        <f t="shared" si="64"/>
        <v>0.8852562451</v>
      </c>
      <c r="I166" s="15">
        <f t="shared" si="64"/>
        <v>0.5642694945</v>
      </c>
      <c r="J166" s="15">
        <f t="shared" si="64"/>
        <v>0.7420045182</v>
      </c>
      <c r="K166" s="15">
        <f t="shared" si="64"/>
        <v>0.2422389713</v>
      </c>
      <c r="L166" s="15">
        <f t="shared" si="64"/>
        <v>0.4970970455</v>
      </c>
      <c r="M166" s="15">
        <f t="shared" si="64"/>
        <v>0.23967779</v>
      </c>
      <c r="N166" s="15">
        <f t="shared" si="64"/>
        <v>0.4580361355</v>
      </c>
      <c r="O166" s="15">
        <f t="shared" si="64"/>
        <v>0.5658847031</v>
      </c>
      <c r="P166" s="15">
        <f t="shared" si="64"/>
        <v>0.11289298</v>
      </c>
      <c r="Q166" s="15">
        <f t="shared" si="64"/>
        <v>0.6239950602</v>
      </c>
      <c r="R166" s="15">
        <f t="shared" si="64"/>
        <v>0.7832983659</v>
      </c>
      <c r="S166" s="15">
        <f t="shared" si="64"/>
        <v>0.6426666192</v>
      </c>
      <c r="T166" s="15">
        <f t="shared" si="64"/>
        <v>0.4892054419</v>
      </c>
      <c r="U166" s="15">
        <f t="shared" si="64"/>
        <v>1</v>
      </c>
      <c r="V166" s="15">
        <f t="shared" si="64"/>
        <v>0.5925762275</v>
      </c>
      <c r="W166" s="15">
        <f t="shared" si="64"/>
        <v>0.6573890118</v>
      </c>
      <c r="X166" s="15">
        <f t="shared" si="64"/>
        <v>0</v>
      </c>
      <c r="Y166" s="15">
        <f t="shared" si="64"/>
        <v>0.7081555624</v>
      </c>
      <c r="Z166" s="15">
        <f t="shared" si="64"/>
        <v>0.7450137185</v>
      </c>
      <c r="AA166" s="15">
        <f t="shared" si="5"/>
        <v>1.541955741</v>
      </c>
      <c r="AB166" s="15">
        <f t="shared" si="6"/>
        <v>-1.12494124</v>
      </c>
    </row>
    <row r="167">
      <c r="A167" s="11" t="str">
        <f>redflag_questions!A62</f>
        <v>Sie lästert stark und häufig über andere Menschen.</v>
      </c>
      <c r="B167" s="15">
        <f t="shared" si="3"/>
        <v>6.279364237</v>
      </c>
      <c r="C167" s="15">
        <f t="shared" ref="C167:Z167" si="65">(C67-$AB167)/($AA167-$AB167)</f>
        <v>0.5572747882</v>
      </c>
      <c r="D167" s="15">
        <f t="shared" si="65"/>
        <v>0.7784564503</v>
      </c>
      <c r="E167" s="15">
        <f t="shared" si="65"/>
        <v>1</v>
      </c>
      <c r="F167" s="15">
        <f t="shared" si="65"/>
        <v>0.8447483938</v>
      </c>
      <c r="G167" s="15">
        <f t="shared" si="65"/>
        <v>0.5051783279</v>
      </c>
      <c r="H167" s="15">
        <f t="shared" si="65"/>
        <v>0</v>
      </c>
      <c r="I167" s="15">
        <f t="shared" si="65"/>
        <v>0.6499180511</v>
      </c>
      <c r="J167" s="15">
        <f t="shared" si="65"/>
        <v>0.5104929707</v>
      </c>
      <c r="K167" s="15">
        <f t="shared" si="65"/>
        <v>0.4461322545</v>
      </c>
      <c r="L167" s="15">
        <f t="shared" si="65"/>
        <v>0.9384874309</v>
      </c>
      <c r="M167" s="15">
        <f t="shared" si="65"/>
        <v>0.8981811595</v>
      </c>
      <c r="N167" s="15">
        <f t="shared" si="65"/>
        <v>0.9554132272</v>
      </c>
      <c r="O167" s="15">
        <f t="shared" si="65"/>
        <v>0.6516424821</v>
      </c>
      <c r="P167" s="15">
        <f t="shared" si="65"/>
        <v>0.4953145901</v>
      </c>
      <c r="Q167" s="15">
        <f t="shared" si="65"/>
        <v>0.2797569083</v>
      </c>
      <c r="R167" s="15">
        <f t="shared" si="65"/>
        <v>0.6471053856</v>
      </c>
      <c r="S167" s="15">
        <f t="shared" si="65"/>
        <v>0.5651991734</v>
      </c>
      <c r="T167" s="15">
        <f t="shared" si="65"/>
        <v>0.8620580013</v>
      </c>
      <c r="U167" s="15">
        <f t="shared" si="65"/>
        <v>0.4881872347</v>
      </c>
      <c r="V167" s="15">
        <f t="shared" si="65"/>
        <v>0.8179288448</v>
      </c>
      <c r="W167" s="15">
        <f t="shared" si="65"/>
        <v>0.5735533336</v>
      </c>
      <c r="X167" s="15">
        <f t="shared" si="65"/>
        <v>0.3160435139</v>
      </c>
      <c r="Y167" s="15">
        <f t="shared" si="65"/>
        <v>0.9763217402</v>
      </c>
      <c r="Z167" s="15">
        <f t="shared" si="65"/>
        <v>0.3130799071</v>
      </c>
      <c r="AA167" s="15">
        <f t="shared" si="5"/>
        <v>1.254405262</v>
      </c>
      <c r="AB167" s="15">
        <f t="shared" si="6"/>
        <v>-1.243575264</v>
      </c>
    </row>
    <row r="168">
      <c r="A168" s="11" t="str">
        <f>redflag_questions!A63</f>
        <v>Sie ist häufig unzuverlässig.</v>
      </c>
      <c r="B168" s="15">
        <f t="shared" si="3"/>
        <v>6.422127862</v>
      </c>
      <c r="C168" s="15">
        <f t="shared" ref="C168:Z168" si="66">(C68-$AB168)/($AA168-$AB168)</f>
        <v>1.013050323</v>
      </c>
      <c r="D168" s="15">
        <f t="shared" si="66"/>
        <v>0.1320543705</v>
      </c>
      <c r="E168" s="15">
        <f t="shared" si="66"/>
        <v>1</v>
      </c>
      <c r="F168" s="15">
        <f t="shared" si="66"/>
        <v>0</v>
      </c>
      <c r="G168" s="15">
        <f t="shared" si="66"/>
        <v>0.9808948119</v>
      </c>
      <c r="H168" s="15">
        <f t="shared" si="66"/>
        <v>0.5540496618</v>
      </c>
      <c r="I168" s="15">
        <f t="shared" si="66"/>
        <v>0.1865156094</v>
      </c>
      <c r="J168" s="15">
        <f t="shared" si="66"/>
        <v>0.6417284336</v>
      </c>
      <c r="K168" s="15">
        <f t="shared" si="66"/>
        <v>0.5436702589</v>
      </c>
      <c r="L168" s="15">
        <f t="shared" si="66"/>
        <v>0.534904436</v>
      </c>
      <c r="M168" s="15">
        <f t="shared" si="66"/>
        <v>0.7237634074</v>
      </c>
      <c r="N168" s="15">
        <f t="shared" si="66"/>
        <v>0.4889212997</v>
      </c>
      <c r="O168" s="15">
        <f t="shared" si="66"/>
        <v>0.7829120775</v>
      </c>
      <c r="P168" s="15">
        <f t="shared" si="66"/>
        <v>0.443506892</v>
      </c>
      <c r="Q168" s="15">
        <f t="shared" si="66"/>
        <v>0.6842908352</v>
      </c>
      <c r="R168" s="15">
        <f t="shared" si="66"/>
        <v>0.8718252683</v>
      </c>
      <c r="S168" s="15">
        <f t="shared" si="66"/>
        <v>0.5205653688</v>
      </c>
      <c r="T168" s="15">
        <f t="shared" si="66"/>
        <v>0.5256143124</v>
      </c>
      <c r="U168" s="15">
        <f t="shared" si="66"/>
        <v>0.6660752405</v>
      </c>
      <c r="V168" s="15">
        <f t="shared" si="66"/>
        <v>0.951173149</v>
      </c>
      <c r="W168" s="15">
        <f t="shared" si="66"/>
        <v>0.7236027362</v>
      </c>
      <c r="X168" s="15">
        <f t="shared" si="66"/>
        <v>0.838071587</v>
      </c>
      <c r="Y168" s="15">
        <f t="shared" si="66"/>
        <v>0.9738910851</v>
      </c>
      <c r="Z168" s="15">
        <f t="shared" si="66"/>
        <v>0.6320257041</v>
      </c>
      <c r="AA168" s="15">
        <f t="shared" si="5"/>
        <v>1.254405262</v>
      </c>
      <c r="AB168" s="15">
        <f t="shared" si="6"/>
        <v>-1.011021403</v>
      </c>
    </row>
    <row r="169">
      <c r="A169" s="11" t="str">
        <f>redflag_questions!A64</f>
        <v>Sie hat kein Selbstbewusstsein.</v>
      </c>
      <c r="B169" s="15">
        <f t="shared" si="3"/>
        <v>4.321002606</v>
      </c>
      <c r="C169" s="15">
        <f t="shared" ref="C169:Z169" si="67">(C69-$AB169)/($AA169-$AB169)</f>
        <v>0.4595734809</v>
      </c>
      <c r="D169" s="15">
        <f t="shared" si="67"/>
        <v>0.01753033037</v>
      </c>
      <c r="E169" s="15">
        <f t="shared" si="67"/>
        <v>0.1597760777</v>
      </c>
      <c r="F169" s="15">
        <f t="shared" si="67"/>
        <v>0</v>
      </c>
      <c r="G169" s="15">
        <f t="shared" si="67"/>
        <v>0.2545956369</v>
      </c>
      <c r="H169" s="15">
        <f t="shared" si="67"/>
        <v>0.06682349237</v>
      </c>
      <c r="I169" s="15">
        <f t="shared" si="67"/>
        <v>0.6614743675</v>
      </c>
      <c r="J169" s="15">
        <f t="shared" si="67"/>
        <v>0.4266031068</v>
      </c>
      <c r="K169" s="15">
        <f t="shared" si="67"/>
        <v>0.2825613391</v>
      </c>
      <c r="L169" s="15">
        <f t="shared" si="67"/>
        <v>0.2204061929</v>
      </c>
      <c r="M169" s="15">
        <f t="shared" si="67"/>
        <v>0.8046335893</v>
      </c>
      <c r="N169" s="15">
        <f t="shared" si="67"/>
        <v>0.2973146539</v>
      </c>
      <c r="O169" s="15">
        <f t="shared" si="67"/>
        <v>0.526080905</v>
      </c>
      <c r="P169" s="15">
        <f t="shared" si="67"/>
        <v>0.5312397766</v>
      </c>
      <c r="Q169" s="15">
        <f t="shared" si="67"/>
        <v>0.2639874855</v>
      </c>
      <c r="R169" s="15">
        <f t="shared" si="67"/>
        <v>0.856454033</v>
      </c>
      <c r="S169" s="15">
        <f t="shared" si="67"/>
        <v>0.1090724494</v>
      </c>
      <c r="T169" s="15">
        <f t="shared" si="67"/>
        <v>0.2623955843</v>
      </c>
      <c r="U169" s="15">
        <f t="shared" si="67"/>
        <v>1</v>
      </c>
      <c r="V169" s="15">
        <f t="shared" si="67"/>
        <v>0.6432743766</v>
      </c>
      <c r="W169" s="15">
        <f t="shared" si="67"/>
        <v>0.718816215</v>
      </c>
      <c r="X169" s="15">
        <f t="shared" si="67"/>
        <v>0.762728154</v>
      </c>
      <c r="Y169" s="15">
        <f t="shared" si="67"/>
        <v>0.6331292437</v>
      </c>
      <c r="Z169" s="15">
        <f t="shared" si="67"/>
        <v>0.4119357646</v>
      </c>
      <c r="AA169" s="15">
        <f t="shared" si="5"/>
        <v>2.063972008</v>
      </c>
      <c r="AB169" s="15">
        <f t="shared" si="6"/>
        <v>-1.480424197</v>
      </c>
    </row>
    <row r="170">
      <c r="A170" s="11" t="str">
        <f>redflag_questions!A65</f>
        <v>Sie hat eine mangelnde Intelligenz oder Bildung.</v>
      </c>
      <c r="B170" s="15">
        <f t="shared" si="3"/>
        <v>4.603746876</v>
      </c>
      <c r="C170" s="15">
        <f t="shared" ref="C170:Z170" si="68">(C70-$AB170)/($AA170-$AB170)</f>
        <v>0.217210975</v>
      </c>
      <c r="D170" s="15">
        <f t="shared" si="68"/>
        <v>0.1912967272</v>
      </c>
      <c r="E170" s="15">
        <f t="shared" si="68"/>
        <v>0.2414007058</v>
      </c>
      <c r="F170" s="15">
        <f t="shared" si="68"/>
        <v>0.2092373585</v>
      </c>
      <c r="G170" s="15">
        <f t="shared" si="68"/>
        <v>0.3529448057</v>
      </c>
      <c r="H170" s="15">
        <f t="shared" si="68"/>
        <v>0.6258237804</v>
      </c>
      <c r="I170" s="15">
        <f t="shared" si="68"/>
        <v>0.3494772606</v>
      </c>
      <c r="J170" s="15">
        <f t="shared" si="68"/>
        <v>0.009461617624</v>
      </c>
      <c r="K170" s="15">
        <f t="shared" si="68"/>
        <v>0.9662841673</v>
      </c>
      <c r="L170" s="15">
        <f t="shared" si="68"/>
        <v>0.462076769</v>
      </c>
      <c r="M170" s="15">
        <f t="shared" si="68"/>
        <v>1</v>
      </c>
      <c r="N170" s="15">
        <f t="shared" si="68"/>
        <v>0.2295432678</v>
      </c>
      <c r="O170" s="15">
        <f t="shared" si="68"/>
        <v>0.7979039772</v>
      </c>
      <c r="P170" s="15">
        <f t="shared" si="68"/>
        <v>0</v>
      </c>
      <c r="Q170" s="15">
        <f t="shared" si="68"/>
        <v>0.7237512915</v>
      </c>
      <c r="R170" s="15">
        <f t="shared" si="68"/>
        <v>0.668553802</v>
      </c>
      <c r="S170" s="15">
        <f t="shared" si="68"/>
        <v>0.6006471531</v>
      </c>
      <c r="T170" s="15">
        <f t="shared" si="68"/>
        <v>0.3621205298</v>
      </c>
      <c r="U170" s="15">
        <f t="shared" si="68"/>
        <v>0.8833119636</v>
      </c>
      <c r="V170" s="15">
        <f t="shared" si="68"/>
        <v>0.4674639565</v>
      </c>
      <c r="W170" s="15">
        <f t="shared" si="68"/>
        <v>0.8990459158</v>
      </c>
      <c r="X170" s="15">
        <f t="shared" si="68"/>
        <v>0.1714274379</v>
      </c>
      <c r="Y170" s="15">
        <f t="shared" si="68"/>
        <v>0.08197201129</v>
      </c>
      <c r="Z170" s="15">
        <f t="shared" si="68"/>
        <v>0.5380370279</v>
      </c>
      <c r="AA170" s="15">
        <f t="shared" si="5"/>
        <v>1.371516043</v>
      </c>
      <c r="AB170" s="15">
        <f t="shared" si="6"/>
        <v>-1.641445522</v>
      </c>
    </row>
    <row r="171">
      <c r="A171" s="11" t="str">
        <f>redflag_questions!A66</f>
        <v>Sie kann nicht klar kommunizieren.</v>
      </c>
      <c r="B171" s="15">
        <f t="shared" si="3"/>
        <v>4.787099823</v>
      </c>
      <c r="C171" s="15">
        <f t="shared" ref="C171:Z171" si="69">(C71-$AB171)/($AA171-$AB171)</f>
        <v>0.9006384504</v>
      </c>
      <c r="D171" s="15">
        <f t="shared" si="69"/>
        <v>0.5576629045</v>
      </c>
      <c r="E171" s="15">
        <f t="shared" si="69"/>
        <v>0.09536473472</v>
      </c>
      <c r="F171" s="15">
        <f t="shared" si="69"/>
        <v>0.2318295332</v>
      </c>
      <c r="G171" s="15">
        <f t="shared" si="69"/>
        <v>0</v>
      </c>
      <c r="H171" s="15">
        <f t="shared" si="69"/>
        <v>0.701369024</v>
      </c>
      <c r="I171" s="15">
        <f t="shared" si="69"/>
        <v>0.03727398748</v>
      </c>
      <c r="J171" s="15">
        <f t="shared" si="69"/>
        <v>0.1405940949</v>
      </c>
      <c r="K171" s="15">
        <f t="shared" si="69"/>
        <v>0.8954954923</v>
      </c>
      <c r="L171" s="15">
        <f t="shared" si="69"/>
        <v>0.3389483106</v>
      </c>
      <c r="M171" s="15">
        <f t="shared" si="69"/>
        <v>0.9327112327</v>
      </c>
      <c r="N171" s="15">
        <f t="shared" si="69"/>
        <v>0.4656403108</v>
      </c>
      <c r="O171" s="15">
        <f t="shared" si="69"/>
        <v>0.709636418</v>
      </c>
      <c r="P171" s="15">
        <f t="shared" si="69"/>
        <v>0.1284270167</v>
      </c>
      <c r="Q171" s="15">
        <f t="shared" si="69"/>
        <v>0.6277862342</v>
      </c>
      <c r="R171" s="15">
        <f t="shared" si="69"/>
        <v>1</v>
      </c>
      <c r="S171" s="15">
        <f t="shared" si="69"/>
        <v>0.4919031402</v>
      </c>
      <c r="T171" s="15">
        <f t="shared" si="69"/>
        <v>0.228616008</v>
      </c>
      <c r="U171" s="15">
        <f t="shared" si="69"/>
        <v>0.9951522455</v>
      </c>
      <c r="V171" s="15">
        <f t="shared" si="69"/>
        <v>0.5970892672</v>
      </c>
      <c r="W171" s="15">
        <f t="shared" si="69"/>
        <v>0.1778192544</v>
      </c>
      <c r="X171" s="15">
        <f t="shared" si="69"/>
        <v>0.2638904664</v>
      </c>
      <c r="Y171" s="15">
        <f t="shared" si="69"/>
        <v>0.7100131008</v>
      </c>
      <c r="Z171" s="15">
        <f t="shared" si="69"/>
        <v>0.261178347</v>
      </c>
      <c r="AA171" s="15">
        <f t="shared" si="5"/>
        <v>1.555188227</v>
      </c>
      <c r="AB171" s="15">
        <f t="shared" si="6"/>
        <v>-1.174423137</v>
      </c>
    </row>
    <row r="172">
      <c r="A172" s="11" t="str">
        <f>redflag_questions!A67</f>
        <v/>
      </c>
    </row>
    <row r="173">
      <c r="A173" s="11" t="str">
        <f>redflag_questions!A68</f>
        <v/>
      </c>
    </row>
    <row r="174">
      <c r="A174" s="11" t="str">
        <f>redflag_questions!A69</f>
        <v/>
      </c>
    </row>
    <row r="175">
      <c r="A175" s="11" t="str">
        <f>redflag_questions!A70</f>
        <v/>
      </c>
    </row>
    <row r="176">
      <c r="A176" s="11" t="str">
        <f>redflag_questions!A71</f>
        <v/>
      </c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  <row r="1001">
      <c r="A1001" s="11"/>
    </row>
    <row r="1002">
      <c r="A1002" s="11"/>
    </row>
    <row r="1003">
      <c r="A1003" s="11"/>
    </row>
    <row r="1004">
      <c r="A1004" s="11"/>
    </row>
    <row r="1005">
      <c r="A1005" s="11"/>
    </row>
  </sheetData>
  <conditionalFormatting sqref="A1:A1005 B106:Z106">
    <cfRule type="notContainsBlanks" dxfId="0" priority="1">
      <formula>LEN(TRIM(A1))&gt;0</formula>
    </cfRule>
  </conditionalFormatting>
  <drawing r:id="rId1"/>
</worksheet>
</file>